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epfedu-my.sharepoint.com/personal/gatien_aubry_epfedu_fr/Documents/Semestre 5/PROJET VBA SQL/ADDE_AMON_AUBRY_ARNAUDO_BABOK_ENGEL_ProjetVBASQL/"/>
    </mc:Choice>
  </mc:AlternateContent>
  <xr:revisionPtr revIDLastSave="1512" documentId="8_{96E8CA10-B269-4859-BC77-D7E2D115242F}" xr6:coauthVersionLast="47" xr6:coauthVersionMax="47" xr10:uidLastSave="{702F8636-0FCA-4690-9D90-D7D1EA056C34}"/>
  <bookViews>
    <workbookView xWindow="-120" yWindow="-120" windowWidth="20730" windowHeight="11160" tabRatio="952" xr2:uid="{00000000-000D-0000-FFFF-FFFF00000000}"/>
  </bookViews>
  <sheets>
    <sheet name="MACROOOOOOOOOS" sheetId="15" r:id="rId1"/>
    <sheet name="Cause Retard" sheetId="20" r:id="rId2"/>
    <sheet name="Approvisionnement" sheetId="18" r:id="rId3"/>
    <sheet name="Bon D'Achat" sheetId="19" r:id="rId4"/>
    <sheet name="Commande" sheetId="4" r:id="rId5"/>
    <sheet name="Consommateur" sheetId="2" r:id="rId6"/>
    <sheet name="Facture" sheetId="10" r:id="rId7"/>
    <sheet name="Ligne Facture" sheetId="12" r:id="rId8"/>
    <sheet name="Fournisseur" sheetId="13" r:id="rId9"/>
    <sheet name="LieuLivraison" sheetId="14" r:id="rId10"/>
    <sheet name="Livraison" sheetId="6" r:id="rId11"/>
    <sheet name="Marché" sheetId="11" r:id="rId12"/>
    <sheet name="Produit" sheetId="5" r:id="rId13"/>
    <sheet name="Feuil1" sheetId="17" state="hidden" r:id="rId14"/>
  </sheets>
  <definedNames>
    <definedName name="_xlnm._FilterDatabase" localSheetId="12" hidden="1">Produit!$B$3:$B$16</definedName>
    <definedName name="APPROVISIONNEMENT">Approvisionnement!$A$1:$E$11</definedName>
    <definedName name="CAUSE_RETARD">'Cause Retard'!$A$1:$B$15</definedName>
    <definedName name="COMMANDE">Commande!$A$1:$E$24</definedName>
    <definedName name="CONSOMMATEUR">Consommateur!$A$1:$E$9</definedName>
    <definedName name="_xlnm.Extract" localSheetId="12">Produit!$Z$1</definedName>
    <definedName name="FACTURE">Facture!$A$1:$A$16</definedName>
    <definedName name="FOURNISSEUR">Fournisseur!$A$1:$C$11</definedName>
    <definedName name="LIEULIVRAISON">LieuLivraison!$A$1:$D$5</definedName>
    <definedName name="LIGNEFACTURE">'Ligne Facture'!$A$1:$D$22</definedName>
    <definedName name="LIVRAISON">Livraison!$A$1:$G$24</definedName>
    <definedName name="MARCHE">Marché!$A$1:$D$4</definedName>
    <definedName name="PRODUIT">Produit!$A$1:$L$16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4" l="1"/>
  <c r="C23" i="4"/>
  <c r="C22" i="4"/>
  <c r="C21" i="4"/>
  <c r="C20" i="4"/>
  <c r="C19" i="4"/>
  <c r="C18" i="4"/>
  <c r="C17" i="4"/>
  <c r="C21" i="6"/>
  <c r="C23" i="6"/>
  <c r="C24" i="6"/>
  <c r="C22" i="6"/>
  <c r="C20" i="6"/>
  <c r="B23" i="6"/>
  <c r="B22" i="6"/>
  <c r="B21" i="6"/>
  <c r="B20" i="6"/>
  <c r="B24" i="6"/>
  <c r="C19" i="6"/>
  <c r="C18" i="6"/>
  <c r="C17" i="6"/>
  <c r="B19" i="6"/>
  <c r="B18" i="6"/>
  <c r="B17" i="6"/>
  <c r="C7" i="6"/>
  <c r="C6" i="6"/>
  <c r="B16" i="6"/>
  <c r="B15" i="6"/>
  <c r="B14" i="6"/>
  <c r="B13" i="6"/>
  <c r="B12" i="6"/>
  <c r="B11" i="6"/>
  <c r="B10" i="6"/>
  <c r="B9" i="6"/>
  <c r="B8" i="6"/>
  <c r="B7" i="6"/>
  <c r="B5" i="6"/>
  <c r="B6" i="6"/>
  <c r="B4" i="6"/>
  <c r="B3" i="6"/>
  <c r="C16" i="6"/>
  <c r="C15" i="6"/>
  <c r="C14" i="6"/>
  <c r="C13" i="6"/>
  <c r="C11" i="6"/>
  <c r="C12" i="6"/>
  <c r="C10" i="6"/>
  <c r="C9" i="6"/>
  <c r="C8" i="6"/>
  <c r="C5" i="6"/>
  <c r="C4" i="6"/>
  <c r="C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BDA9B6D-233F-4B9C-8C20-084225F66D1C}" keepAlive="1" name="Requête - projet_sql_vbaa" description="Connexion à la requête « projet_sql_vbaa » dans le classeur." type="5" refreshedVersion="0" background="1" saveData="1">
    <dbPr connection="Provider=Microsoft.Mashup.OleDb.1;Data Source=$Workbook$;Location=projet_sql_vbaa;Extended Properties=&quot;&quot;" command="SELECT * FROM [projet_sql_vbaa]"/>
  </connection>
  <connection id="2" xr16:uid="{16FA49B0-A8D4-4C0E-B82A-1D979A227DA2}" keepAlive="1" name="Requête - projet_sql_vbaa (2)" description="Connexion à la requête « projet_sql_vbaa (2) » dans le classeur." type="5" refreshedVersion="0" background="1" saveData="1">
    <dbPr connection="Provider=Microsoft.Mashup.OleDb.1;Data Source=$Workbook$;Location=&quot;projet_sql_vbaa (2)&quot;;Extended Properties=&quot;&quot;" command="SELECT * FROM [projet_sql_vbaa (2)]"/>
  </connection>
</connections>
</file>

<file path=xl/sharedStrings.xml><?xml version="1.0" encoding="utf-8"?>
<sst xmlns="http://schemas.openxmlformats.org/spreadsheetml/2006/main" count="587" uniqueCount="293">
  <si>
    <t>ID_CONSOMMATEUR</t>
  </si>
  <si>
    <t>NOM_CONSOMMATEUR</t>
  </si>
  <si>
    <t>PRENOM_CONSOMMATEUR</t>
  </si>
  <si>
    <t>POINTS_CONSOMMATEUR</t>
  </si>
  <si>
    <t>ID_COMMANDE</t>
  </si>
  <si>
    <t>COMMANDE</t>
  </si>
  <si>
    <t>Arnaudal</t>
  </si>
  <si>
    <t>Alexander</t>
  </si>
  <si>
    <t>C1</t>
  </si>
  <si>
    <t>C2</t>
  </si>
  <si>
    <t>C3</t>
  </si>
  <si>
    <t>C4</t>
  </si>
  <si>
    <t>O1</t>
  </si>
  <si>
    <t>Starfire</t>
  </si>
  <si>
    <t>Octavia</t>
  </si>
  <si>
    <t>O2</t>
  </si>
  <si>
    <t>O3</t>
  </si>
  <si>
    <t>O4</t>
  </si>
  <si>
    <t>O5</t>
  </si>
  <si>
    <t>O6</t>
  </si>
  <si>
    <t>O7</t>
  </si>
  <si>
    <t>O8</t>
  </si>
  <si>
    <t>O9</t>
  </si>
  <si>
    <t>O10</t>
  </si>
  <si>
    <t>O11</t>
  </si>
  <si>
    <t>O12</t>
  </si>
  <si>
    <t>O13</t>
  </si>
  <si>
    <t>O14</t>
  </si>
  <si>
    <t>Whosay-NI</t>
  </si>
  <si>
    <t>Theknights</t>
  </si>
  <si>
    <t>ID_LIVRAISON</t>
  </si>
  <si>
    <t>PRODUIT</t>
  </si>
  <si>
    <t>ID_PRODUIT</t>
  </si>
  <si>
    <t>LIVRAISON</t>
  </si>
  <si>
    <t>NOM_PRODUIT</t>
  </si>
  <si>
    <t>Dupont</t>
  </si>
  <si>
    <t>Jean-Charles</t>
  </si>
  <si>
    <t>DESCRIPTION_PRODUIT</t>
  </si>
  <si>
    <t>Dupond</t>
  </si>
  <si>
    <t>Charles-Jean</t>
  </si>
  <si>
    <t>STATUT_COMMANDE</t>
  </si>
  <si>
    <t>PRIXCONDI_PRODUIT</t>
  </si>
  <si>
    <t>PRIXKILO_PRODUIT</t>
  </si>
  <si>
    <t>L1</t>
  </si>
  <si>
    <t>L2</t>
  </si>
  <si>
    <t>C5</t>
  </si>
  <si>
    <t>C6</t>
  </si>
  <si>
    <t>L3</t>
  </si>
  <si>
    <t>L4</t>
  </si>
  <si>
    <t>L5</t>
  </si>
  <si>
    <t>L6</t>
  </si>
  <si>
    <t>L7</t>
  </si>
  <si>
    <t>L8</t>
  </si>
  <si>
    <t>L9</t>
  </si>
  <si>
    <t>L10</t>
  </si>
  <si>
    <t>L11</t>
  </si>
  <si>
    <t>L12</t>
  </si>
  <si>
    <t>Fraise</t>
  </si>
  <si>
    <t>Haddock</t>
  </si>
  <si>
    <t>Capitaine</t>
  </si>
  <si>
    <t xml:space="preserve">La fraise est un fruit rouge issu des fraisiers, espèces de plantes herbacées appartenant au genre Fragaria (famille des Rosacées), dont plusieurs variétés sont cultivées. </t>
  </si>
  <si>
    <t>L13</t>
  </si>
  <si>
    <t>L14</t>
  </si>
  <si>
    <t>3.95</t>
  </si>
  <si>
    <t>P1</t>
  </si>
  <si>
    <t>P2</t>
  </si>
  <si>
    <t>P3</t>
  </si>
  <si>
    <t>P4</t>
  </si>
  <si>
    <t>CATEGORIE_PRODUIT</t>
  </si>
  <si>
    <t>NE</t>
  </si>
  <si>
    <t>SOUS_CATEGORIE_PRODUIT</t>
  </si>
  <si>
    <t>Très bien</t>
  </si>
  <si>
    <t>Bien</t>
  </si>
  <si>
    <t>Médiocre</t>
  </si>
  <si>
    <t>Fruits et légumes</t>
  </si>
  <si>
    <t>Fruits de saison</t>
  </si>
  <si>
    <t>Miel d'acacia</t>
  </si>
  <si>
    <t>Epicerie sucrée</t>
  </si>
  <si>
    <t>Miel</t>
  </si>
  <si>
    <t>ID_FACTURE</t>
  </si>
  <si>
    <t>Travers de porc</t>
  </si>
  <si>
    <t>FACTURE</t>
  </si>
  <si>
    <t>F1</t>
  </si>
  <si>
    <t>F2</t>
  </si>
  <si>
    <t>F3</t>
  </si>
  <si>
    <t>F4</t>
  </si>
  <si>
    <t>F5</t>
  </si>
  <si>
    <t>F6</t>
  </si>
  <si>
    <t>F7</t>
  </si>
  <si>
    <t>F8</t>
  </si>
  <si>
    <t>F9</t>
  </si>
  <si>
    <t>F10</t>
  </si>
  <si>
    <t>F11</t>
  </si>
  <si>
    <t>F12</t>
  </si>
  <si>
    <t>F13</t>
  </si>
  <si>
    <t>F14</t>
  </si>
  <si>
    <t>Viande et poisson</t>
  </si>
  <si>
    <t>Porc</t>
  </si>
  <si>
    <t>C7</t>
  </si>
  <si>
    <t>Le miel d’Acacia est l’un produit de la ruche des plus connus et des plus appréciés de par le monde. Ce miel monofloral porte le nom de l’arbre sur lequel il est recueilli. Il est produit en France (en Bourgogne), mais plus largement en Hongrie.</t>
  </si>
  <si>
    <t>P5</t>
  </si>
  <si>
    <t>P6</t>
  </si>
  <si>
    <t>Chocobon</t>
  </si>
  <si>
    <t xml:space="preserve">Le travers de porc est un morceau de viande de porc et de découpe en boucherie, qui correspond aux côtes de l'animal présentes au niveau de la cage thoracique en dessous des membres antérieurs. </t>
  </si>
  <si>
    <t>Michoko</t>
  </si>
  <si>
    <t>Bon</t>
  </si>
  <si>
    <t>Meilleur</t>
  </si>
  <si>
    <t>Marché</t>
  </si>
  <si>
    <t>ID_MARCHE</t>
  </si>
  <si>
    <t>ID_LIGNEFACTURE</t>
  </si>
  <si>
    <t>LIEU_MARCHE</t>
  </si>
  <si>
    <t>DATE_MARCHE</t>
  </si>
  <si>
    <t>Gare du Nord</t>
  </si>
  <si>
    <t>Citrix</t>
  </si>
  <si>
    <t>World Trade Center</t>
  </si>
  <si>
    <t>Indigeste, a des effets nocifs pour la santé mentale et physique</t>
  </si>
  <si>
    <t>M1</t>
  </si>
  <si>
    <t>M2</t>
  </si>
  <si>
    <t>Vomi</t>
  </si>
  <si>
    <t>Sucrerie</t>
  </si>
  <si>
    <t>HORODATAGE</t>
  </si>
  <si>
    <t>ID_FOURNISSEUR</t>
  </si>
  <si>
    <t>FERME_FOURNISSEUR</t>
  </si>
  <si>
    <t>Vegetal</t>
  </si>
  <si>
    <t>CODEPOST_FOURNISSEUR</t>
  </si>
  <si>
    <t>L'Elysée</t>
  </si>
  <si>
    <t>LF1</t>
  </si>
  <si>
    <t>LF2</t>
  </si>
  <si>
    <t>LF3</t>
  </si>
  <si>
    <t>LF4</t>
  </si>
  <si>
    <t>LF5</t>
  </si>
  <si>
    <t>LF6</t>
  </si>
  <si>
    <t>LF7</t>
  </si>
  <si>
    <t>LF8</t>
  </si>
  <si>
    <t>LF9</t>
  </si>
  <si>
    <t>LF10</t>
  </si>
  <si>
    <t>LF11</t>
  </si>
  <si>
    <t>LF12</t>
  </si>
  <si>
    <t>LF13</t>
  </si>
  <si>
    <t>LF14</t>
  </si>
  <si>
    <t>LF15</t>
  </si>
  <si>
    <t>LF16</t>
  </si>
  <si>
    <t>S1</t>
  </si>
  <si>
    <t>LF17</t>
  </si>
  <si>
    <t>LF18</t>
  </si>
  <si>
    <t>LF19</t>
  </si>
  <si>
    <t>LF20</t>
  </si>
  <si>
    <t>SPAM</t>
  </si>
  <si>
    <t>Catacombes</t>
  </si>
  <si>
    <t>S2</t>
  </si>
  <si>
    <t>LIEULIVRAISON</t>
  </si>
  <si>
    <t>ID_LL</t>
  </si>
  <si>
    <t>ADRESSE_LL</t>
  </si>
  <si>
    <t>DISPONIBILITE_LL</t>
  </si>
  <si>
    <t>POINTRELAIS_LL</t>
  </si>
  <si>
    <t>NoComment</t>
  </si>
  <si>
    <t>LIGNEFACTURE</t>
  </si>
  <si>
    <t>OUI</t>
  </si>
  <si>
    <t>27 Rue du Faubourg Saint-Jacques, 75014 Paris</t>
  </si>
  <si>
    <t>Cachan</t>
  </si>
  <si>
    <t>EPF</t>
  </si>
  <si>
    <t>LL1</t>
  </si>
  <si>
    <t>LL2</t>
  </si>
  <si>
    <t>Vikings</t>
  </si>
  <si>
    <t>Waitress said it</t>
  </si>
  <si>
    <t>Well, there's bacon and SPAM</t>
  </si>
  <si>
    <t>S3</t>
  </si>
  <si>
    <t>Egg bacon and SPAM</t>
  </si>
  <si>
    <t>It's SPAM</t>
  </si>
  <si>
    <t>SPAM tomato</t>
  </si>
  <si>
    <t>SPAM bacon sausage</t>
  </si>
  <si>
    <t>SPAM bacon egg and SPAM</t>
  </si>
  <si>
    <t>Jean</t>
  </si>
  <si>
    <t>Pierre</t>
  </si>
  <si>
    <t>Michèle</t>
  </si>
  <si>
    <t>CONSOMMATEUR</t>
  </si>
  <si>
    <t>DATE_EMISSION_COMMANDE</t>
  </si>
  <si>
    <t>FRAIS_LIVRAISON</t>
  </si>
  <si>
    <t>QUALITE_LIVRAISON</t>
  </si>
  <si>
    <t>PRODUIT_LIGNEFACTURE</t>
  </si>
  <si>
    <t>NB_LIGNEFACTURE</t>
  </si>
  <si>
    <t>LL3</t>
  </si>
  <si>
    <t xml:space="preserve">	45° 49' 57" nord, 6° 51' 53" est</t>
  </si>
  <si>
    <t>Well, there's SPAM</t>
  </si>
  <si>
    <t>25° 00' 00" N, 71° 00' 00" W</t>
  </si>
  <si>
    <t>STOCK</t>
  </si>
  <si>
    <t>Categorie existante</t>
  </si>
  <si>
    <t>Sous catégorie existante</t>
  </si>
  <si>
    <t>P7</t>
  </si>
  <si>
    <t>P8</t>
  </si>
  <si>
    <t>P9</t>
  </si>
  <si>
    <t>P10</t>
  </si>
  <si>
    <t>P11</t>
  </si>
  <si>
    <t>P12</t>
  </si>
  <si>
    <t>P13</t>
  </si>
  <si>
    <t>S4</t>
  </si>
  <si>
    <t>S5</t>
  </si>
  <si>
    <t>S6</t>
  </si>
  <si>
    <t>S7</t>
  </si>
  <si>
    <t>ID_Approvisionnement</t>
  </si>
  <si>
    <t>Date</t>
  </si>
  <si>
    <t>Quantité</t>
  </si>
  <si>
    <t>ID_Produit</t>
  </si>
  <si>
    <t>ID_fournisseur</t>
  </si>
  <si>
    <t>A1</t>
  </si>
  <si>
    <t>A2</t>
  </si>
  <si>
    <t>A3</t>
  </si>
  <si>
    <t>A4</t>
  </si>
  <si>
    <t>FOURNISSEUR</t>
  </si>
  <si>
    <t>APPROVISIONNEMENT</t>
  </si>
  <si>
    <t>Bilan des stocks</t>
  </si>
  <si>
    <t>STOCK_CRITIQUE</t>
  </si>
  <si>
    <t>Liste des noms de produits:</t>
  </si>
  <si>
    <t>Oops</t>
  </si>
  <si>
    <t>My  bad</t>
  </si>
  <si>
    <t>FIDELITE</t>
  </si>
  <si>
    <t>MARGE</t>
  </si>
  <si>
    <t>Nombre Fourni Total</t>
  </si>
  <si>
    <t>Id_Bon</t>
  </si>
  <si>
    <t>Valeur</t>
  </si>
  <si>
    <t>DateCreation</t>
  </si>
  <si>
    <t>DatePeremption</t>
  </si>
  <si>
    <t>ID_Consommateur</t>
  </si>
  <si>
    <t>Bon D'Achat</t>
  </si>
  <si>
    <t>B1</t>
  </si>
  <si>
    <t>S1/S3/S7/S9</t>
  </si>
  <si>
    <t>S1/S2/S4/S6/S12</t>
  </si>
  <si>
    <t>En préparation</t>
  </si>
  <si>
    <t>En livraison</t>
  </si>
  <si>
    <t>Livraison effectuée</t>
  </si>
  <si>
    <t>DATE_PREVUE</t>
  </si>
  <si>
    <t>DATE_RELLE</t>
  </si>
  <si>
    <t>DATE_PEREMPTION</t>
  </si>
  <si>
    <t>S13</t>
  </si>
  <si>
    <t>Hell</t>
  </si>
  <si>
    <t>L15</t>
  </si>
  <si>
    <t>L16</t>
  </si>
  <si>
    <t>L17</t>
  </si>
  <si>
    <t>L18</t>
  </si>
  <si>
    <t>L19</t>
  </si>
  <si>
    <t>L20</t>
  </si>
  <si>
    <t>L21</t>
  </si>
  <si>
    <t>L22</t>
  </si>
  <si>
    <t>O15</t>
  </si>
  <si>
    <t>O16</t>
  </si>
  <si>
    <t>O17</t>
  </si>
  <si>
    <t>O18</t>
  </si>
  <si>
    <t>O19</t>
  </si>
  <si>
    <t>O20</t>
  </si>
  <si>
    <t>O21</t>
  </si>
  <si>
    <t>O22</t>
  </si>
  <si>
    <t>ID Livraison</t>
  </si>
  <si>
    <t>1/ Gestion du catalogue produits et des fournisseurs</t>
  </si>
  <si>
    <t>Cause</t>
  </si>
  <si>
    <t>Cause Retard</t>
  </si>
  <si>
    <t>F15</t>
  </si>
  <si>
    <t>F16</t>
  </si>
  <si>
    <t>F17</t>
  </si>
  <si>
    <t>F18</t>
  </si>
  <si>
    <t>F19</t>
  </si>
  <si>
    <t>F20</t>
  </si>
  <si>
    <t>F21</t>
  </si>
  <si>
    <t>F22</t>
  </si>
  <si>
    <t>2/ Gestion des commandes clients</t>
  </si>
  <si>
    <t>Bilan des ventes annuelles</t>
  </si>
  <si>
    <t>Liste des commandes avec livraison offerte</t>
  </si>
  <si>
    <t>Ajout d'un fournisseur</t>
  </si>
  <si>
    <t>Suppression/ édition d'un fournisseur</t>
  </si>
  <si>
    <t>Affichage d'un fournisseur</t>
  </si>
  <si>
    <t>Ajout d'un produit</t>
  </si>
  <si>
    <t>Affichage d'un produit</t>
  </si>
  <si>
    <t>Suppression /édition d'un produit</t>
  </si>
  <si>
    <t>Prix moyen d'un produit</t>
  </si>
  <si>
    <t>3/ Gestion commerciale</t>
  </si>
  <si>
    <t>Affichage d'un consommateur</t>
  </si>
  <si>
    <t>Liste des commandes selon le statut</t>
  </si>
  <si>
    <t>Qualité des livraisons</t>
  </si>
  <si>
    <t>Qualité des commandes</t>
  </si>
  <si>
    <t>Bilan par catégorie de produit</t>
  </si>
  <si>
    <t>Produits vendus par producteur et par département</t>
  </si>
  <si>
    <t>Alerte des livraisons en retard</t>
  </si>
  <si>
    <t>Rupture de stock</t>
  </si>
  <si>
    <t>Grève des transports</t>
  </si>
  <si>
    <t>Perte de commande</t>
  </si>
  <si>
    <t>Statistiques sur les retards</t>
  </si>
  <si>
    <t>S14</t>
  </si>
  <si>
    <t>CommeCeci</t>
  </si>
  <si>
    <t>S15</t>
  </si>
  <si>
    <t>nb toatl prod</t>
  </si>
  <si>
    <t>Soldat</t>
  </si>
  <si>
    <t>WWI</t>
  </si>
  <si>
    <t>P15</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</si>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</sst>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 #,##0.00\ &quot;€&quot;_-;\-* #,##0.00\ &quot;€&quot;_-;_-* &quot;-&quot;??\ &quot;€&quot;_-;_-@_-"/>
  </numFmts>
  <fonts count="9"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
      <b/>
      <i/>
      <u/>
      <sz val="11"/>
      <color theme="1"/>
      <name val="Calibri"/>
      <family val="2"/>
      <scheme val="minor"/>
    </font>
    <font>
      <b/>
      <i/>
      <u/>
      <sz val="11"/>
      <name val="Calibri"/>
      <family val="2"/>
      <scheme val="minor"/>
    </font>
    <font>
      <b/>
      <sz val="18"/>
      <color rgb="FFFF0000"/>
      <name val="Calibri"/>
      <family val="2"/>
      <scheme val="minor"/>
    </font>
    <font>
      <b/>
      <sz val="18"/>
      <color theme="4"/>
      <name val="Calibri"/>
      <family val="2"/>
      <scheme val="minor"/>
    </font>
    <font>
      <b/>
      <sz val="18"/>
      <color theme="9" tint="-0.249977111117893"/>
      <name val="Calibri"/>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theme="0"/>
        <bgColor indexed="64"/>
      </patternFill>
    </fill>
    <fill>
      <patternFill patternType="solid">
        <fgColor theme="9" tint="0.59999389629810485"/>
        <bgColor indexed="64"/>
      </patternFill>
    </fill>
    <fill>
      <patternFill patternType="solid">
        <fgColor theme="7" tint="0.79998168889431442"/>
        <bgColor indexed="64"/>
      </patternFill>
    </fill>
  </fills>
  <borders count="11">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44" fontId="1" fillId="0" borderId="0" applyFont="0" applyFill="0" applyBorder="0" applyAlignment="0" applyProtection="0"/>
  </cellStyleXfs>
  <cellXfs count="42">
    <xf numFmtId="0" fontId="0" fillId="0" borderId="0" xfId="0"/>
    <xf numFmtId="14" fontId="0" fillId="0" borderId="0" xfId="0" applyNumberFormat="1"/>
    <xf numFmtId="2" fontId="0" fillId="0" borderId="0" xfId="1" applyNumberFormat="1" applyFont="1"/>
    <xf numFmtId="0" fontId="0" fillId="0" borderId="1" xfId="0" applyBorder="1"/>
    <xf numFmtId="0" fontId="0" fillId="0" borderId="2" xfId="0" applyBorder="1"/>
    <xf numFmtId="0" fontId="0" fillId="0" borderId="0" xfId="0" applyFill="1" applyBorder="1"/>
    <xf numFmtId="22" fontId="0" fillId="0" borderId="0" xfId="0" applyNumberFormat="1"/>
    <xf numFmtId="0" fontId="0" fillId="2" borderId="3" xfId="0" applyFill="1" applyBorder="1"/>
    <xf numFmtId="0" fontId="0" fillId="2" borderId="4" xfId="0" applyFill="1" applyBorder="1"/>
    <xf numFmtId="0" fontId="0" fillId="2" borderId="0" xfId="0" applyFill="1" applyBorder="1"/>
    <xf numFmtId="0" fontId="0" fillId="2" borderId="6" xfId="0" applyFill="1" applyBorder="1"/>
    <xf numFmtId="0" fontId="4" fillId="2" borderId="0" xfId="0" applyFont="1" applyFill="1" applyBorder="1"/>
    <xf numFmtId="0" fontId="4" fillId="2" borderId="0" xfId="0" applyFont="1" applyFill="1" applyBorder="1" applyAlignment="1">
      <alignment horizontal="center"/>
    </xf>
    <xf numFmtId="0" fontId="6" fillId="2" borderId="0" xfId="0" applyFont="1" applyFill="1" applyBorder="1"/>
    <xf numFmtId="0" fontId="0" fillId="2" borderId="8" xfId="0" applyFill="1" applyBorder="1"/>
    <xf numFmtId="0" fontId="0" fillId="2" borderId="9" xfId="0" applyFill="1" applyBorder="1"/>
    <xf numFmtId="0" fontId="0" fillId="3" borderId="0" xfId="0" applyFill="1" applyBorder="1"/>
    <xf numFmtId="0" fontId="0" fillId="4" borderId="3" xfId="0" applyFill="1" applyBorder="1"/>
    <xf numFmtId="0" fontId="0" fillId="4" borderId="4" xfId="0" applyFill="1" applyBorder="1"/>
    <xf numFmtId="0" fontId="0" fillId="4" borderId="6" xfId="0" applyFill="1" applyBorder="1"/>
    <xf numFmtId="0" fontId="0" fillId="4" borderId="0" xfId="0" applyFill="1" applyBorder="1"/>
    <xf numFmtId="0" fontId="4" fillId="4" borderId="0" xfId="0" applyFont="1" applyFill="1" applyBorder="1" applyAlignment="1">
      <alignment horizontal="center"/>
    </xf>
    <xf numFmtId="0" fontId="5" fillId="4" borderId="0" xfId="0" applyFont="1" applyFill="1" applyBorder="1" applyAlignment="1">
      <alignment horizontal="left"/>
    </xf>
    <xf numFmtId="0" fontId="5" fillId="4" borderId="0" xfId="0" applyFont="1" applyFill="1" applyBorder="1" applyAlignment="1">
      <alignment horizontal="center"/>
    </xf>
    <xf numFmtId="0" fontId="7" fillId="4" borderId="0" xfId="0" applyFont="1" applyFill="1"/>
    <xf numFmtId="0" fontId="0" fillId="4" borderId="8" xfId="0" applyFill="1" applyBorder="1"/>
    <xf numFmtId="0" fontId="0" fillId="4" borderId="9"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5" borderId="0" xfId="0" applyFill="1" applyBorder="1"/>
    <xf numFmtId="0" fontId="0" fillId="5" borderId="7" xfId="0" applyFill="1" applyBorder="1"/>
    <xf numFmtId="0" fontId="4" fillId="5" borderId="0" xfId="0" applyFont="1" applyFill="1" applyBorder="1" applyAlignment="1">
      <alignment horizontal="center"/>
    </xf>
    <xf numFmtId="0" fontId="5" fillId="5" borderId="0" xfId="0" applyFont="1" applyFill="1" applyBorder="1" applyAlignment="1">
      <alignment horizontal="center"/>
    </xf>
    <xf numFmtId="0" fontId="3" fillId="5" borderId="0" xfId="0" applyFont="1" applyFill="1" applyBorder="1"/>
    <xf numFmtId="0" fontId="8" fillId="5" borderId="0" xfId="0" applyFont="1" applyFill="1" applyAlignment="1">
      <alignment horizontal="center"/>
    </xf>
    <xf numFmtId="0" fontId="0" fillId="5" borderId="8" xfId="0" applyFill="1" applyBorder="1"/>
    <xf numFmtId="0" fontId="0" fillId="5" borderId="9" xfId="0" applyFill="1" applyBorder="1"/>
    <xf numFmtId="0" fontId="0" fillId="5" borderId="10" xfId="0" applyFill="1" applyBorder="1"/>
    <xf numFmtId="0" fontId="0" fillId="2" borderId="0" xfId="0" applyFill="1"/>
    <xf numFmtId="0" fontId="0" fillId="0" borderId="0" xfId="0" applyAlignment="1">
      <alignment horizontal="center"/>
    </xf>
  </cellXfs>
  <cellStyles count="2">
    <cellStyle name="Monétaire"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image" Target="../media/image32.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svg"/><Relationship Id="rId36" Type="http://schemas.openxmlformats.org/officeDocument/2006/relationships/image" Target="../media/image36.svg"/><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30.svg"/><Relationship Id="rId35" Type="http://schemas.openxmlformats.org/officeDocument/2006/relationships/image" Target="../media/image35.png"/><Relationship Id="rId8"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editAs="oneCell">
    <xdr:from>
      <xdr:col>0</xdr:col>
      <xdr:colOff>142090</xdr:colOff>
      <xdr:row>0</xdr:row>
      <xdr:rowOff>116990</xdr:rowOff>
    </xdr:from>
    <xdr:to>
      <xdr:col>1</xdr:col>
      <xdr:colOff>260648</xdr:colOff>
      <xdr:row>5</xdr:row>
      <xdr:rowOff>102871</xdr:rowOff>
    </xdr:to>
    <xdr:pic macro="[0]!Ajout_Fournisseur">
      <xdr:nvPicPr>
        <xdr:cNvPr id="82" name="Graphique 3" descr="Femme agricultrice contour">
          <a:extLst>
            <a:ext uri="{FF2B5EF4-FFF2-40B4-BE49-F238E27FC236}">
              <a16:creationId xmlns:a16="http://schemas.microsoft.com/office/drawing/2014/main" id="{F06F3DCB-EE83-4105-BA9F-360B720B825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2090" y="116990"/>
          <a:ext cx="911038" cy="900281"/>
        </a:xfrm>
        <a:prstGeom prst="rect">
          <a:avLst/>
        </a:prstGeom>
      </xdr:spPr>
    </xdr:pic>
    <xdr:clientData/>
  </xdr:twoCellAnchor>
  <xdr:twoCellAnchor editAs="oneCell">
    <xdr:from>
      <xdr:col>3</xdr:col>
      <xdr:colOff>243840</xdr:colOff>
      <xdr:row>0</xdr:row>
      <xdr:rowOff>106680</xdr:rowOff>
    </xdr:from>
    <xdr:to>
      <xdr:col>3</xdr:col>
      <xdr:colOff>1106805</xdr:colOff>
      <xdr:row>5</xdr:row>
      <xdr:rowOff>106680</xdr:rowOff>
    </xdr:to>
    <xdr:pic macro="[0]!Suppression_Fournisseur">
      <xdr:nvPicPr>
        <xdr:cNvPr id="58" name="Graphique 2" descr="Homme agriculteur avec un remplissage uni">
          <a:extLst>
            <a:ext uri="{FF2B5EF4-FFF2-40B4-BE49-F238E27FC236}">
              <a16:creationId xmlns:a16="http://schemas.microsoft.com/office/drawing/2014/main" id="{52368498-5922-40E3-9D3C-DA55D68E07F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21280" y="106680"/>
          <a:ext cx="862965" cy="914400"/>
        </a:xfrm>
        <a:prstGeom prst="rect">
          <a:avLst/>
        </a:prstGeom>
      </xdr:spPr>
    </xdr:pic>
    <xdr:clientData/>
  </xdr:twoCellAnchor>
  <xdr:twoCellAnchor editAs="oneCell">
    <xdr:from>
      <xdr:col>0</xdr:col>
      <xdr:colOff>769620</xdr:colOff>
      <xdr:row>8</xdr:row>
      <xdr:rowOff>83820</xdr:rowOff>
    </xdr:from>
    <xdr:to>
      <xdr:col>2</xdr:col>
      <xdr:colOff>100965</xdr:colOff>
      <xdr:row>13</xdr:row>
      <xdr:rowOff>85725</xdr:rowOff>
    </xdr:to>
    <xdr:pic macro="[0]!Ajout_Produit">
      <xdr:nvPicPr>
        <xdr:cNvPr id="26" name="Graphique 5" descr="Amélioration continue contour">
          <a:extLst>
            <a:ext uri="{FF2B5EF4-FFF2-40B4-BE49-F238E27FC236}">
              <a16:creationId xmlns:a16="http://schemas.microsoft.com/office/drawing/2014/main" id="{ACFB6C9C-5B88-4283-9D50-57CDC51165E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69620" y="1546860"/>
          <a:ext cx="916305" cy="916305"/>
        </a:xfrm>
        <a:prstGeom prst="rect">
          <a:avLst/>
        </a:prstGeom>
      </xdr:spPr>
    </xdr:pic>
    <xdr:clientData/>
  </xdr:twoCellAnchor>
  <xdr:twoCellAnchor editAs="oneCell">
    <xdr:from>
      <xdr:col>5</xdr:col>
      <xdr:colOff>60960</xdr:colOff>
      <xdr:row>9</xdr:row>
      <xdr:rowOff>7620</xdr:rowOff>
    </xdr:from>
    <xdr:to>
      <xdr:col>5</xdr:col>
      <xdr:colOff>977265</xdr:colOff>
      <xdr:row>14</xdr:row>
      <xdr:rowOff>7620</xdr:rowOff>
    </xdr:to>
    <xdr:pic macro="[0]!Suppression_Produit">
      <xdr:nvPicPr>
        <xdr:cNvPr id="32" name="Graphique 7" descr="Amélioration continue avec un remplissage uni">
          <a:extLst>
            <a:ext uri="{FF2B5EF4-FFF2-40B4-BE49-F238E27FC236}">
              <a16:creationId xmlns:a16="http://schemas.microsoft.com/office/drawing/2014/main" id="{BFEA63AD-AD6B-48D4-BE2F-0C36D03EEDE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4625340" y="1653540"/>
          <a:ext cx="916305" cy="914400"/>
        </a:xfrm>
        <a:prstGeom prst="rect">
          <a:avLst/>
        </a:prstGeom>
      </xdr:spPr>
    </xdr:pic>
    <xdr:clientData/>
  </xdr:twoCellAnchor>
  <xdr:twoCellAnchor editAs="oneCell">
    <xdr:from>
      <xdr:col>3</xdr:col>
      <xdr:colOff>236220</xdr:colOff>
      <xdr:row>8</xdr:row>
      <xdr:rowOff>106680</xdr:rowOff>
    </xdr:from>
    <xdr:to>
      <xdr:col>3</xdr:col>
      <xdr:colOff>1144905</xdr:colOff>
      <xdr:row>13</xdr:row>
      <xdr:rowOff>110490</xdr:rowOff>
    </xdr:to>
    <xdr:pic macro="[0]!Affichage_Produit">
      <xdr:nvPicPr>
        <xdr:cNvPr id="56" name="Graphique 4" descr="Boulier avec un remplissage uni">
          <a:extLst>
            <a:ext uri="{FF2B5EF4-FFF2-40B4-BE49-F238E27FC236}">
              <a16:creationId xmlns:a16="http://schemas.microsoft.com/office/drawing/2014/main" id="{DDE39163-25EB-4B4D-A0C5-C97153A14F2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613660" y="1569720"/>
          <a:ext cx="908685" cy="918210"/>
        </a:xfrm>
        <a:prstGeom prst="rect">
          <a:avLst/>
        </a:prstGeom>
      </xdr:spPr>
    </xdr:pic>
    <xdr:clientData/>
  </xdr:twoCellAnchor>
  <xdr:twoCellAnchor editAs="oneCell">
    <xdr:from>
      <xdr:col>5</xdr:col>
      <xdr:colOff>236220</xdr:colOff>
      <xdr:row>0</xdr:row>
      <xdr:rowOff>144780</xdr:rowOff>
    </xdr:from>
    <xdr:to>
      <xdr:col>5</xdr:col>
      <xdr:colOff>1150620</xdr:colOff>
      <xdr:row>5</xdr:row>
      <xdr:rowOff>142875</xdr:rowOff>
    </xdr:to>
    <xdr:pic macro="[0]!Affichage_Fournisseur">
      <xdr:nvPicPr>
        <xdr:cNvPr id="31" name="Graphique 6" descr="Kiosque avec un remplissage uni">
          <a:extLst>
            <a:ext uri="{FF2B5EF4-FFF2-40B4-BE49-F238E27FC236}">
              <a16:creationId xmlns:a16="http://schemas.microsoft.com/office/drawing/2014/main" id="{F46B1790-6811-4AFC-BDC3-24B68568C1D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800600" y="144780"/>
          <a:ext cx="914400" cy="912495"/>
        </a:xfrm>
        <a:prstGeom prst="rect">
          <a:avLst/>
        </a:prstGeom>
      </xdr:spPr>
    </xdr:pic>
    <xdr:clientData/>
  </xdr:twoCellAnchor>
  <xdr:twoCellAnchor editAs="oneCell">
    <xdr:from>
      <xdr:col>7</xdr:col>
      <xdr:colOff>22860</xdr:colOff>
      <xdr:row>0</xdr:row>
      <xdr:rowOff>121920</xdr:rowOff>
    </xdr:from>
    <xdr:to>
      <xdr:col>8</xdr:col>
      <xdr:colOff>144780</xdr:colOff>
      <xdr:row>5</xdr:row>
      <xdr:rowOff>118110</xdr:rowOff>
    </xdr:to>
    <xdr:pic macro="[0]!Bilan_Stock">
      <xdr:nvPicPr>
        <xdr:cNvPr id="36" name="Graphique 8" descr="Porte-bloc avec un remplissage uni">
          <a:extLst>
            <a:ext uri="{FF2B5EF4-FFF2-40B4-BE49-F238E27FC236}">
              <a16:creationId xmlns:a16="http://schemas.microsoft.com/office/drawing/2014/main" id="{D016FB1A-5A77-43F7-A3BA-59E47D56202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568440" y="121920"/>
          <a:ext cx="914400" cy="910590"/>
        </a:xfrm>
        <a:prstGeom prst="rect">
          <a:avLst/>
        </a:prstGeom>
      </xdr:spPr>
    </xdr:pic>
    <xdr:clientData/>
  </xdr:twoCellAnchor>
  <xdr:twoCellAnchor editAs="oneCell">
    <xdr:from>
      <xdr:col>6</xdr:col>
      <xdr:colOff>739140</xdr:colOff>
      <xdr:row>8</xdr:row>
      <xdr:rowOff>106680</xdr:rowOff>
    </xdr:from>
    <xdr:to>
      <xdr:col>8</xdr:col>
      <xdr:colOff>72390</xdr:colOff>
      <xdr:row>13</xdr:row>
      <xdr:rowOff>108585</xdr:rowOff>
    </xdr:to>
    <xdr:pic macro="[0]!Affichage_Prix_moyen">
      <xdr:nvPicPr>
        <xdr:cNvPr id="39" name="Graphique 9" descr="Balance de la justice avec un remplissage uni">
          <a:extLst>
            <a:ext uri="{FF2B5EF4-FFF2-40B4-BE49-F238E27FC236}">
              <a16:creationId xmlns:a16="http://schemas.microsoft.com/office/drawing/2014/main" id="{D15D9C58-EB35-46EB-8895-37E7FC8134B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492240" y="1569720"/>
          <a:ext cx="918210" cy="916305"/>
        </a:xfrm>
        <a:prstGeom prst="rect">
          <a:avLst/>
        </a:prstGeom>
      </xdr:spPr>
    </xdr:pic>
    <xdr:clientData/>
  </xdr:twoCellAnchor>
  <xdr:twoCellAnchor editAs="oneCell">
    <xdr:from>
      <xdr:col>0</xdr:col>
      <xdr:colOff>673249</xdr:colOff>
      <xdr:row>18</xdr:row>
      <xdr:rowOff>103542</xdr:rowOff>
    </xdr:from>
    <xdr:to>
      <xdr:col>2</xdr:col>
      <xdr:colOff>1008</xdr:colOff>
      <xdr:row>23</xdr:row>
      <xdr:rowOff>89423</xdr:rowOff>
    </xdr:to>
    <xdr:pic macro="[0]!Affichage_Consommateur">
      <xdr:nvPicPr>
        <xdr:cNvPr id="84" name="Graphique 10" descr="Public cible contour">
          <a:extLst>
            <a:ext uri="{FF2B5EF4-FFF2-40B4-BE49-F238E27FC236}">
              <a16:creationId xmlns:a16="http://schemas.microsoft.com/office/drawing/2014/main" id="{425FCD18-76A5-4CBE-BCA7-91EA65678C2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73249" y="3456342"/>
          <a:ext cx="912719" cy="900281"/>
        </a:xfrm>
        <a:prstGeom prst="rect">
          <a:avLst/>
        </a:prstGeom>
      </xdr:spPr>
    </xdr:pic>
    <xdr:clientData/>
  </xdr:twoCellAnchor>
  <xdr:twoCellAnchor editAs="oneCell">
    <xdr:from>
      <xdr:col>3</xdr:col>
      <xdr:colOff>686248</xdr:colOff>
      <xdr:row>18</xdr:row>
      <xdr:rowOff>103990</xdr:rowOff>
    </xdr:from>
    <xdr:to>
      <xdr:col>4</xdr:col>
      <xdr:colOff>370803</xdr:colOff>
      <xdr:row>23</xdr:row>
      <xdr:rowOff>86061</xdr:rowOff>
    </xdr:to>
    <xdr:pic macro="[0]!Affichage_Order_Status">
      <xdr:nvPicPr>
        <xdr:cNvPr id="85" name="Graphique 11" descr="Livraison contour">
          <a:extLst>
            <a:ext uri="{FF2B5EF4-FFF2-40B4-BE49-F238E27FC236}">
              <a16:creationId xmlns:a16="http://schemas.microsoft.com/office/drawing/2014/main" id="{C26031F3-8991-43C9-9031-753CB940382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052930" y="3456790"/>
          <a:ext cx="918995" cy="896471"/>
        </a:xfrm>
        <a:prstGeom prst="rect">
          <a:avLst/>
        </a:prstGeom>
      </xdr:spPr>
    </xdr:pic>
    <xdr:clientData/>
  </xdr:twoCellAnchor>
  <xdr:twoCellAnchor editAs="oneCell">
    <xdr:from>
      <xdr:col>5</xdr:col>
      <xdr:colOff>1132243</xdr:colOff>
      <xdr:row>18</xdr:row>
      <xdr:rowOff>77096</xdr:rowOff>
    </xdr:from>
    <xdr:to>
      <xdr:col>7</xdr:col>
      <xdr:colOff>2578</xdr:colOff>
      <xdr:row>23</xdr:row>
      <xdr:rowOff>61072</xdr:rowOff>
    </xdr:to>
    <xdr:pic macro="[0]!Livraison_Offerte">
      <xdr:nvPicPr>
        <xdr:cNvPr id="86" name="Graphique 12" descr="Camion avec un remplissage uni">
          <a:extLst>
            <a:ext uri="{FF2B5EF4-FFF2-40B4-BE49-F238E27FC236}">
              <a16:creationId xmlns:a16="http://schemas.microsoft.com/office/drawing/2014/main" id="{F65B8E57-2E7F-4772-AE58-3513EE8D5FED}"/>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524949" y="3429896"/>
          <a:ext cx="847949" cy="898376"/>
        </a:xfrm>
        <a:prstGeom prst="rect">
          <a:avLst/>
        </a:prstGeom>
      </xdr:spPr>
    </xdr:pic>
    <xdr:clientData/>
  </xdr:twoCellAnchor>
  <xdr:twoCellAnchor editAs="oneCell">
    <xdr:from>
      <xdr:col>1</xdr:col>
      <xdr:colOff>7620</xdr:colOff>
      <xdr:row>26</xdr:row>
      <xdr:rowOff>0</xdr:rowOff>
    </xdr:from>
    <xdr:to>
      <xdr:col>2</xdr:col>
      <xdr:colOff>127635</xdr:colOff>
      <xdr:row>31</xdr:row>
      <xdr:rowOff>3810</xdr:rowOff>
    </xdr:to>
    <xdr:pic macro="[0]!Indicateur_Qualite_Livraison">
      <xdr:nvPicPr>
        <xdr:cNvPr id="64" name="Graphique 7" descr="Livraison de nourriture contour">
          <a:extLst>
            <a:ext uri="{FF2B5EF4-FFF2-40B4-BE49-F238E27FC236}">
              <a16:creationId xmlns:a16="http://schemas.microsoft.com/office/drawing/2014/main" id="{D7AA6AD6-4B6B-4FC4-9591-373DF5C76AB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00100" y="4876800"/>
          <a:ext cx="912495" cy="918210"/>
        </a:xfrm>
        <a:prstGeom prst="rect">
          <a:avLst/>
        </a:prstGeom>
      </xdr:spPr>
    </xdr:pic>
    <xdr:clientData/>
  </xdr:twoCellAnchor>
  <xdr:twoCellAnchor editAs="oneCell">
    <xdr:from>
      <xdr:col>3</xdr:col>
      <xdr:colOff>1159873</xdr:colOff>
      <xdr:row>26</xdr:row>
      <xdr:rowOff>11430</xdr:rowOff>
    </xdr:from>
    <xdr:to>
      <xdr:col>5</xdr:col>
      <xdr:colOff>49258</xdr:colOff>
      <xdr:row>31</xdr:row>
      <xdr:rowOff>20955</xdr:rowOff>
    </xdr:to>
    <xdr:pic macro="[0]!Indicateur_Qualite_Commande">
      <xdr:nvPicPr>
        <xdr:cNvPr id="67" name="Graphique 13" descr="Terminal Cmd avec un remplissage uni">
          <a:extLst>
            <a:ext uri="{FF2B5EF4-FFF2-40B4-BE49-F238E27FC236}">
              <a16:creationId xmlns:a16="http://schemas.microsoft.com/office/drawing/2014/main" id="{8E3B4ADD-0481-4E5B-ACF8-0628B7EFA3A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3543844" y="4942659"/>
          <a:ext cx="914128" cy="934810"/>
        </a:xfrm>
        <a:prstGeom prst="rect">
          <a:avLst/>
        </a:prstGeom>
      </xdr:spPr>
    </xdr:pic>
    <xdr:clientData/>
  </xdr:twoCellAnchor>
  <xdr:twoCellAnchor editAs="oneCell">
    <xdr:from>
      <xdr:col>11</xdr:col>
      <xdr:colOff>975361</xdr:colOff>
      <xdr:row>4</xdr:row>
      <xdr:rowOff>116737</xdr:rowOff>
    </xdr:from>
    <xdr:to>
      <xdr:col>13</xdr:col>
      <xdr:colOff>21771</xdr:colOff>
      <xdr:row>9</xdr:row>
      <xdr:rowOff>178846</xdr:rowOff>
    </xdr:to>
    <xdr:pic macro="[0]!Affichage_Bilan">
      <xdr:nvPicPr>
        <xdr:cNvPr id="75" name="Graphique 15" descr="Calculatrice avec un remplissage uni">
          <a:extLst>
            <a:ext uri="{FF2B5EF4-FFF2-40B4-BE49-F238E27FC236}">
              <a16:creationId xmlns:a16="http://schemas.microsoft.com/office/drawing/2014/main" id="{8648DB85-0ACC-4C6D-B7E0-ED32B57E5FB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0543904" y="856966"/>
          <a:ext cx="907867" cy="987394"/>
        </a:xfrm>
        <a:prstGeom prst="rect">
          <a:avLst/>
        </a:prstGeom>
      </xdr:spPr>
    </xdr:pic>
    <xdr:clientData/>
  </xdr:twoCellAnchor>
  <xdr:twoCellAnchor editAs="oneCell">
    <xdr:from>
      <xdr:col>10</xdr:col>
      <xdr:colOff>7620</xdr:colOff>
      <xdr:row>4</xdr:row>
      <xdr:rowOff>152400</xdr:rowOff>
    </xdr:from>
    <xdr:to>
      <xdr:col>11</xdr:col>
      <xdr:colOff>129540</xdr:colOff>
      <xdr:row>9</xdr:row>
      <xdr:rowOff>152400</xdr:rowOff>
    </xdr:to>
    <xdr:pic macro="[0]!Bilan_Catégorie">
      <xdr:nvPicPr>
        <xdr:cNvPr id="72" name="Graphique 16" descr="Calculatrice contour">
          <a:extLst>
            <a:ext uri="{FF2B5EF4-FFF2-40B4-BE49-F238E27FC236}">
              <a16:creationId xmlns:a16="http://schemas.microsoft.com/office/drawing/2014/main" id="{B624C33A-88EE-49B8-852A-5D61FBE5B1A8}"/>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770620" y="883920"/>
          <a:ext cx="914400" cy="914400"/>
        </a:xfrm>
        <a:prstGeom prst="rect">
          <a:avLst/>
        </a:prstGeom>
      </xdr:spPr>
    </xdr:pic>
    <xdr:clientData/>
  </xdr:twoCellAnchor>
  <xdr:twoCellAnchor editAs="oneCell">
    <xdr:from>
      <xdr:col>11</xdr:col>
      <xdr:colOff>13128</xdr:colOff>
      <xdr:row>15</xdr:row>
      <xdr:rowOff>76008</xdr:rowOff>
    </xdr:from>
    <xdr:to>
      <xdr:col>11</xdr:col>
      <xdr:colOff>926119</xdr:colOff>
      <xdr:row>19</xdr:row>
      <xdr:rowOff>119039</xdr:rowOff>
    </xdr:to>
    <xdr:pic macro="[0]!Ventes_Producteur">
      <xdr:nvPicPr>
        <xdr:cNvPr id="78" name="Graphique 17" descr="Marketing contour">
          <a:extLst>
            <a:ext uri="{FF2B5EF4-FFF2-40B4-BE49-F238E27FC236}">
              <a16:creationId xmlns:a16="http://schemas.microsoft.com/office/drawing/2014/main" id="{C14C668A-37EA-42CB-93DC-3AD9040F295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9581671" y="2851865"/>
          <a:ext cx="912991" cy="903003"/>
        </a:xfrm>
        <a:prstGeom prst="rect">
          <a:avLst/>
        </a:prstGeom>
      </xdr:spPr>
    </xdr:pic>
    <xdr:clientData/>
  </xdr:twoCellAnchor>
  <xdr:twoCellAnchor editAs="oneCell">
    <xdr:from>
      <xdr:col>9</xdr:col>
      <xdr:colOff>727485</xdr:colOff>
      <xdr:row>24</xdr:row>
      <xdr:rowOff>70372</xdr:rowOff>
    </xdr:from>
    <xdr:to>
      <xdr:col>10</xdr:col>
      <xdr:colOff>777239</xdr:colOff>
      <xdr:row>29</xdr:row>
      <xdr:rowOff>52443</xdr:rowOff>
    </xdr:to>
    <xdr:pic macro="[0]!Alert_Delay">
      <xdr:nvPicPr>
        <xdr:cNvPr id="80" name="Graphique 18" descr="Symbole de colère avec un remplissage uni">
          <a:extLst>
            <a:ext uri="{FF2B5EF4-FFF2-40B4-BE49-F238E27FC236}">
              <a16:creationId xmlns:a16="http://schemas.microsoft.com/office/drawing/2014/main" id="{006BF338-C8C1-43B0-A5E0-C257FC17ABB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8679179" y="4498937"/>
          <a:ext cx="842234" cy="896471"/>
        </a:xfrm>
        <a:prstGeom prst="rect">
          <a:avLst/>
        </a:prstGeom>
      </xdr:spPr>
    </xdr:pic>
    <xdr:clientData/>
  </xdr:twoCellAnchor>
  <xdr:twoCellAnchor editAs="oneCell">
    <xdr:from>
      <xdr:col>11</xdr:col>
      <xdr:colOff>1013011</xdr:colOff>
      <xdr:row>24</xdr:row>
      <xdr:rowOff>107577</xdr:rowOff>
    </xdr:from>
    <xdr:to>
      <xdr:col>13</xdr:col>
      <xdr:colOff>71717</xdr:colOff>
      <xdr:row>29</xdr:row>
      <xdr:rowOff>125507</xdr:rowOff>
    </xdr:to>
    <xdr:pic macro="[0]!Affiche_Stat_Delay">
      <xdr:nvPicPr>
        <xdr:cNvPr id="3" name="Graphique 2" descr="Graphique à barres avec tendance à la baisse contour">
          <a:extLst>
            <a:ext uri="{FF2B5EF4-FFF2-40B4-BE49-F238E27FC236}">
              <a16:creationId xmlns:a16="http://schemas.microsoft.com/office/drawing/2014/main" id="{217A5676-AF8D-4D33-A1F3-F0E6B6F50E3D}"/>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0542493" y="4536142"/>
          <a:ext cx="914400" cy="91440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E46E5-9891-40F4-93E4-852787E3130F}">
  <sheetPr codeName="Feuil12"/>
  <dimension ref="A1:N35"/>
  <sheetViews>
    <sheetView showGridLines="0" tabSelected="1" zoomScale="70" zoomScaleNormal="70" workbookViewId="0">
      <selection activeCell="G29" sqref="G29"/>
    </sheetView>
  </sheetViews>
  <sheetFormatPr baseColWidth="10" defaultColWidth="11.5703125" defaultRowHeight="15" x14ac:dyDescent="0.25"/>
  <cols>
    <col min="1" max="3" width="11.5703125" style="16"/>
    <col min="4" max="4" width="18" style="16" customWidth="1"/>
    <col min="5" max="5" width="11.5703125" style="16"/>
    <col min="6" max="6" width="17.28515625" style="16" customWidth="1"/>
    <col min="7" max="11" width="11.5703125" style="16"/>
    <col min="12" max="12" width="15.5703125" style="16" customWidth="1"/>
    <col min="13" max="13" width="11.5703125" style="16"/>
    <col min="14" max="14" width="15.7109375" style="16" customWidth="1"/>
    <col min="15" max="16384" width="11.5703125" style="16"/>
  </cols>
  <sheetData>
    <row r="1" spans="1:14" x14ac:dyDescent="0.25">
      <c r="A1" s="7"/>
      <c r="B1" s="8"/>
      <c r="C1" s="8"/>
      <c r="D1" s="8"/>
      <c r="E1" s="8"/>
      <c r="F1" s="8"/>
      <c r="G1" s="8"/>
      <c r="H1" s="8"/>
      <c r="I1" s="8"/>
      <c r="J1" s="27"/>
      <c r="K1" s="28"/>
      <c r="L1" s="28"/>
      <c r="M1" s="28"/>
      <c r="N1" s="29"/>
    </row>
    <row r="2" spans="1:14" x14ac:dyDescent="0.25">
      <c r="A2" s="10"/>
      <c r="B2" s="9"/>
      <c r="C2" s="9"/>
      <c r="D2" s="9"/>
      <c r="E2" s="9"/>
      <c r="F2" s="9"/>
      <c r="G2" s="9"/>
      <c r="H2" s="9"/>
      <c r="I2" s="9"/>
      <c r="J2" s="30"/>
      <c r="K2" s="31"/>
      <c r="L2" s="31"/>
      <c r="M2" s="31"/>
      <c r="N2" s="32"/>
    </row>
    <row r="3" spans="1:14" x14ac:dyDescent="0.25">
      <c r="A3" s="10"/>
      <c r="B3" s="9"/>
      <c r="C3" s="9"/>
      <c r="D3" s="9"/>
      <c r="E3" s="9"/>
      <c r="F3" s="9"/>
      <c r="G3" s="9"/>
      <c r="H3" s="9"/>
      <c r="I3" s="9"/>
      <c r="J3" s="30"/>
      <c r="K3" s="31"/>
      <c r="L3" s="31"/>
      <c r="M3" s="31"/>
      <c r="N3" s="32"/>
    </row>
    <row r="4" spans="1:14" x14ac:dyDescent="0.25">
      <c r="A4" s="10"/>
      <c r="B4" s="9"/>
      <c r="C4" s="9"/>
      <c r="D4" s="9"/>
      <c r="E4" s="9"/>
      <c r="F4" s="9"/>
      <c r="G4" s="9"/>
      <c r="H4" s="9"/>
      <c r="I4" s="9"/>
      <c r="J4" s="30"/>
      <c r="K4" s="31"/>
      <c r="L4" s="31"/>
      <c r="M4" s="31"/>
      <c r="N4" s="32"/>
    </row>
    <row r="5" spans="1:14" x14ac:dyDescent="0.25">
      <c r="A5" s="10"/>
      <c r="B5" s="9"/>
      <c r="C5" s="9"/>
      <c r="D5" s="9"/>
      <c r="E5" s="40"/>
      <c r="F5" s="9"/>
      <c r="G5" s="9"/>
      <c r="H5" s="9"/>
      <c r="I5" s="9"/>
      <c r="J5" s="30"/>
      <c r="K5" s="31"/>
      <c r="L5" s="31"/>
      <c r="M5" s="31"/>
      <c r="N5" s="32"/>
    </row>
    <row r="6" spans="1:14" x14ac:dyDescent="0.25">
      <c r="A6" s="10"/>
      <c r="B6" s="9"/>
      <c r="C6" s="9"/>
      <c r="D6" s="9"/>
      <c r="E6" s="40"/>
      <c r="F6" s="9"/>
      <c r="G6" s="9"/>
      <c r="H6" s="9"/>
      <c r="I6" s="9"/>
      <c r="J6" s="30"/>
      <c r="K6" s="31"/>
      <c r="L6" s="31"/>
      <c r="M6" s="31"/>
      <c r="N6" s="32"/>
    </row>
    <row r="7" spans="1:14" x14ac:dyDescent="0.25">
      <c r="A7" s="11" t="s">
        <v>266</v>
      </c>
      <c r="B7" s="9"/>
      <c r="C7" s="9"/>
      <c r="D7" s="12" t="s">
        <v>267</v>
      </c>
      <c r="E7" s="40"/>
      <c r="F7" s="12" t="s">
        <v>268</v>
      </c>
      <c r="G7" s="9"/>
      <c r="H7" s="11" t="s">
        <v>210</v>
      </c>
      <c r="I7" s="9"/>
      <c r="J7" s="30"/>
      <c r="K7" s="31"/>
      <c r="L7" s="31"/>
      <c r="M7" s="31"/>
      <c r="N7" s="32"/>
    </row>
    <row r="8" spans="1:14" x14ac:dyDescent="0.25">
      <c r="A8" s="10"/>
      <c r="B8" s="9"/>
      <c r="C8" s="9"/>
      <c r="D8" s="9"/>
      <c r="E8" s="40"/>
      <c r="F8" s="9"/>
      <c r="G8" s="9"/>
      <c r="H8" s="9"/>
      <c r="I8" s="9"/>
      <c r="J8" s="30"/>
      <c r="K8" s="31"/>
      <c r="L8" s="31"/>
      <c r="M8" s="31"/>
      <c r="N8" s="32"/>
    </row>
    <row r="9" spans="1:14" x14ac:dyDescent="0.25">
      <c r="A9" s="10"/>
      <c r="B9" s="9"/>
      <c r="C9" s="9"/>
      <c r="D9" s="9"/>
      <c r="E9" s="9"/>
      <c r="F9" s="9"/>
      <c r="G9" s="9"/>
      <c r="H9" s="9"/>
      <c r="I9" s="9"/>
      <c r="J9" s="30"/>
      <c r="K9" s="31"/>
      <c r="L9" s="31"/>
      <c r="M9" s="31"/>
      <c r="N9" s="32"/>
    </row>
    <row r="10" spans="1:14" x14ac:dyDescent="0.25">
      <c r="A10" s="10"/>
      <c r="B10" s="9"/>
      <c r="C10" s="9"/>
      <c r="D10" s="9"/>
      <c r="E10" s="9"/>
      <c r="F10" s="9"/>
      <c r="G10" s="9"/>
      <c r="H10" s="9"/>
      <c r="I10" s="9"/>
      <c r="J10" s="30"/>
      <c r="K10" s="31"/>
      <c r="L10" s="31"/>
      <c r="M10" s="31"/>
      <c r="N10" s="32"/>
    </row>
    <row r="11" spans="1:14" x14ac:dyDescent="0.25">
      <c r="A11" s="10"/>
      <c r="B11" s="9"/>
      <c r="C11" s="9"/>
      <c r="D11" s="9"/>
      <c r="E11" s="40"/>
      <c r="F11" s="9"/>
      <c r="G11" s="9"/>
      <c r="H11" s="9"/>
      <c r="I11" s="9"/>
      <c r="J11" s="30"/>
      <c r="K11" s="31"/>
      <c r="L11" s="31"/>
      <c r="M11" s="31"/>
      <c r="N11" s="32"/>
    </row>
    <row r="12" spans="1:14" x14ac:dyDescent="0.25">
      <c r="A12" s="10"/>
      <c r="B12" s="9"/>
      <c r="C12" s="9"/>
      <c r="D12" s="9"/>
      <c r="E12" s="9"/>
      <c r="F12" s="9"/>
      <c r="G12" s="9"/>
      <c r="H12" s="9"/>
      <c r="I12" s="9"/>
      <c r="J12" s="30"/>
      <c r="K12" s="33" t="s">
        <v>278</v>
      </c>
      <c r="L12" s="31"/>
      <c r="M12" s="34" t="s">
        <v>264</v>
      </c>
      <c r="N12" s="32"/>
    </row>
    <row r="13" spans="1:14" x14ac:dyDescent="0.25">
      <c r="A13" s="10"/>
      <c r="B13" s="9"/>
      <c r="C13" s="9"/>
      <c r="D13" s="9"/>
      <c r="E13" s="9"/>
      <c r="F13" s="9"/>
      <c r="G13" s="9"/>
      <c r="H13" s="9"/>
      <c r="I13" s="9"/>
      <c r="J13" s="30"/>
      <c r="K13" s="31"/>
      <c r="L13" s="31"/>
      <c r="M13" s="35"/>
      <c r="N13" s="32"/>
    </row>
    <row r="14" spans="1:14" x14ac:dyDescent="0.25">
      <c r="A14" s="10"/>
      <c r="B14" s="9"/>
      <c r="C14" s="9"/>
      <c r="D14" s="9"/>
      <c r="E14" s="9"/>
      <c r="F14" s="9"/>
      <c r="G14" s="9"/>
      <c r="H14" s="9"/>
      <c r="I14" s="9"/>
      <c r="J14" s="30"/>
      <c r="K14" s="31"/>
      <c r="L14" s="31"/>
      <c r="M14" s="31"/>
      <c r="N14" s="32"/>
    </row>
    <row r="15" spans="1:14" x14ac:dyDescent="0.25">
      <c r="A15" s="10"/>
      <c r="B15" s="11" t="s">
        <v>269</v>
      </c>
      <c r="C15" s="9"/>
      <c r="D15" s="12" t="s">
        <v>270</v>
      </c>
      <c r="E15" s="9"/>
      <c r="F15" s="12" t="s">
        <v>271</v>
      </c>
      <c r="G15" s="9"/>
      <c r="H15" s="12" t="s">
        <v>272</v>
      </c>
      <c r="I15" s="9"/>
      <c r="J15" s="30"/>
      <c r="K15" s="31"/>
      <c r="L15" s="31"/>
      <c r="M15" s="31"/>
      <c r="N15" s="32"/>
    </row>
    <row r="16" spans="1:14" x14ac:dyDescent="0.25">
      <c r="A16" s="10"/>
      <c r="B16" s="9"/>
      <c r="C16" s="9"/>
      <c r="D16" s="9"/>
      <c r="E16" s="9"/>
      <c r="F16" s="9"/>
      <c r="G16" s="9"/>
      <c r="H16" s="9"/>
      <c r="I16" s="9"/>
      <c r="J16" s="30"/>
      <c r="K16" s="31"/>
      <c r="L16" s="31"/>
      <c r="M16" s="31"/>
      <c r="N16" s="32"/>
    </row>
    <row r="17" spans="1:14" ht="23.25" x14ac:dyDescent="0.35">
      <c r="A17" s="10"/>
      <c r="B17" s="9"/>
      <c r="C17" s="13" t="s">
        <v>252</v>
      </c>
      <c r="D17" s="9"/>
      <c r="E17" s="9"/>
      <c r="F17" s="9"/>
      <c r="G17" s="9"/>
      <c r="H17" s="9"/>
      <c r="I17" s="9"/>
      <c r="J17" s="30"/>
      <c r="K17" s="31"/>
      <c r="L17" s="31"/>
      <c r="M17" s="31"/>
      <c r="N17" s="32"/>
    </row>
    <row r="18" spans="1:14" ht="15.75" thickBot="1" x14ac:dyDescent="0.3">
      <c r="A18" s="14"/>
      <c r="B18" s="15"/>
      <c r="C18" s="15"/>
      <c r="D18" s="15"/>
      <c r="E18" s="15"/>
      <c r="F18" s="15"/>
      <c r="G18" s="15"/>
      <c r="H18" s="15"/>
      <c r="I18" s="15"/>
      <c r="J18" s="30"/>
      <c r="K18" s="31"/>
      <c r="L18" s="31"/>
      <c r="M18" s="31"/>
      <c r="N18" s="32"/>
    </row>
    <row r="19" spans="1:14" x14ac:dyDescent="0.25">
      <c r="A19" s="17"/>
      <c r="B19" s="18"/>
      <c r="C19" s="18"/>
      <c r="D19" s="18"/>
      <c r="E19" s="18"/>
      <c r="F19" s="18"/>
      <c r="G19" s="18"/>
      <c r="H19" s="18"/>
      <c r="I19" s="18"/>
      <c r="J19" s="30"/>
      <c r="K19" s="31"/>
      <c r="L19" s="31"/>
      <c r="M19" s="31"/>
      <c r="N19" s="32"/>
    </row>
    <row r="20" spans="1:14" x14ac:dyDescent="0.25">
      <c r="A20" s="19"/>
      <c r="B20" s="20"/>
      <c r="C20" s="20"/>
      <c r="D20" s="20"/>
      <c r="E20" s="20"/>
      <c r="F20" s="20"/>
      <c r="G20" s="20"/>
      <c r="H20" s="20"/>
      <c r="I20" s="20"/>
      <c r="J20" s="30"/>
      <c r="K20" s="31"/>
      <c r="L20" s="31"/>
      <c r="M20" s="31"/>
      <c r="N20" s="32"/>
    </row>
    <row r="21" spans="1:14" x14ac:dyDescent="0.25">
      <c r="A21" s="19"/>
      <c r="B21" s="20"/>
      <c r="C21" s="20"/>
      <c r="D21" s="20"/>
      <c r="E21" s="20"/>
      <c r="F21" s="20"/>
      <c r="G21" s="20"/>
      <c r="H21" s="20"/>
      <c r="I21" s="20"/>
      <c r="J21" s="30"/>
      <c r="K21" s="31"/>
      <c r="L21" s="31"/>
      <c r="M21" s="31"/>
      <c r="N21" s="32"/>
    </row>
    <row r="22" spans="1:14" x14ac:dyDescent="0.25">
      <c r="A22" s="19"/>
      <c r="B22" s="20"/>
      <c r="C22" s="20"/>
      <c r="D22" s="20"/>
      <c r="E22" s="20"/>
      <c r="F22" s="20"/>
      <c r="G22" s="20"/>
      <c r="H22" s="20"/>
      <c r="I22" s="20"/>
      <c r="J22" s="30"/>
      <c r="K22" s="31"/>
      <c r="L22" s="33" t="s">
        <v>279</v>
      </c>
      <c r="M22" s="31"/>
      <c r="N22" s="32"/>
    </row>
    <row r="23" spans="1:14" x14ac:dyDescent="0.25">
      <c r="A23" s="19"/>
      <c r="B23" s="20"/>
      <c r="C23" s="20"/>
      <c r="D23" s="20"/>
      <c r="E23" s="20"/>
      <c r="F23" s="20"/>
      <c r="G23" s="20"/>
      <c r="H23" s="20"/>
      <c r="I23" s="20"/>
      <c r="J23" s="30"/>
      <c r="K23" s="31"/>
      <c r="L23" s="31"/>
      <c r="M23" s="31"/>
      <c r="N23" s="32"/>
    </row>
    <row r="24" spans="1:14" x14ac:dyDescent="0.25">
      <c r="A24" s="19"/>
      <c r="B24" s="20"/>
      <c r="C24" s="20"/>
      <c r="D24" s="20"/>
      <c r="E24" s="20"/>
      <c r="F24" s="20"/>
      <c r="G24" s="20"/>
      <c r="H24" s="20"/>
      <c r="I24" s="20"/>
      <c r="J24" s="30"/>
      <c r="K24" s="31"/>
      <c r="L24" s="31"/>
      <c r="M24" s="31"/>
      <c r="N24" s="32"/>
    </row>
    <row r="25" spans="1:14" x14ac:dyDescent="0.25">
      <c r="A25" s="19"/>
      <c r="B25" s="21" t="s">
        <v>274</v>
      </c>
      <c r="C25" s="20"/>
      <c r="D25" s="22" t="s">
        <v>275</v>
      </c>
      <c r="E25" s="20"/>
      <c r="F25" s="20"/>
      <c r="G25" s="23" t="s">
        <v>265</v>
      </c>
      <c r="H25" s="20"/>
      <c r="I25" s="20"/>
      <c r="J25" s="30"/>
      <c r="K25" s="31"/>
      <c r="L25" s="31"/>
      <c r="M25" s="31"/>
      <c r="N25" s="32"/>
    </row>
    <row r="26" spans="1:14" x14ac:dyDescent="0.25">
      <c r="A26" s="19"/>
      <c r="B26" s="20"/>
      <c r="C26" s="20"/>
      <c r="D26" s="20"/>
      <c r="E26" s="20"/>
      <c r="F26" s="20"/>
      <c r="G26" s="20"/>
      <c r="H26" s="20"/>
      <c r="I26" s="20"/>
      <c r="J26" s="30"/>
      <c r="K26" s="31"/>
      <c r="L26" s="31"/>
      <c r="M26" s="31"/>
      <c r="N26" s="32"/>
    </row>
    <row r="27" spans="1:14" x14ac:dyDescent="0.25">
      <c r="A27" s="19"/>
      <c r="B27" s="20"/>
      <c r="C27" s="20"/>
      <c r="D27" s="20"/>
      <c r="E27" s="20"/>
      <c r="F27" s="20"/>
      <c r="G27" s="20"/>
      <c r="H27" s="20"/>
      <c r="I27" s="20"/>
      <c r="J27" s="30"/>
      <c r="K27" s="31"/>
      <c r="L27" s="31"/>
      <c r="M27" s="31"/>
      <c r="N27" s="32"/>
    </row>
    <row r="28" spans="1:14" x14ac:dyDescent="0.25">
      <c r="A28" s="19"/>
      <c r="B28" s="20"/>
      <c r="C28" s="20"/>
      <c r="D28" s="20"/>
      <c r="E28" s="20"/>
      <c r="F28" s="20"/>
      <c r="G28" s="20"/>
      <c r="H28" s="20"/>
      <c r="I28" s="20"/>
      <c r="J28" s="30"/>
      <c r="K28" s="31"/>
      <c r="L28" s="31"/>
      <c r="M28" s="31"/>
      <c r="N28" s="32"/>
    </row>
    <row r="29" spans="1:14" x14ac:dyDescent="0.25">
      <c r="A29" s="19"/>
      <c r="B29" s="20"/>
      <c r="C29" s="20"/>
      <c r="D29" s="20"/>
      <c r="E29" s="20"/>
      <c r="F29" s="20"/>
      <c r="G29" s="20"/>
      <c r="H29" s="20"/>
      <c r="I29" s="20"/>
      <c r="J29" s="30"/>
      <c r="K29" s="31"/>
      <c r="L29" s="31"/>
      <c r="M29" s="31"/>
      <c r="N29" s="32"/>
    </row>
    <row r="30" spans="1:14" x14ac:dyDescent="0.25">
      <c r="A30" s="19"/>
      <c r="B30" s="20"/>
      <c r="C30" s="20"/>
      <c r="D30" s="20"/>
      <c r="E30" s="20"/>
      <c r="F30" s="20"/>
      <c r="G30" s="20"/>
      <c r="H30" s="20"/>
      <c r="I30" s="20"/>
      <c r="J30" s="30"/>
      <c r="K30" s="31"/>
      <c r="L30" s="31"/>
      <c r="M30" s="31"/>
      <c r="N30" s="32"/>
    </row>
    <row r="31" spans="1:14" x14ac:dyDescent="0.25">
      <c r="A31" s="19"/>
      <c r="B31" s="20"/>
      <c r="C31" s="20"/>
      <c r="D31" s="20"/>
      <c r="E31" s="20"/>
      <c r="F31" s="20"/>
      <c r="G31" s="20"/>
      <c r="H31" s="20"/>
      <c r="I31" s="20"/>
      <c r="J31" s="30"/>
      <c r="K31" s="34" t="s">
        <v>280</v>
      </c>
      <c r="L31" s="31"/>
      <c r="M31" s="34" t="s">
        <v>284</v>
      </c>
      <c r="N31" s="32"/>
    </row>
    <row r="32" spans="1:14" x14ac:dyDescent="0.25">
      <c r="A32" s="19"/>
      <c r="B32" s="21" t="s">
        <v>276</v>
      </c>
      <c r="C32" s="20"/>
      <c r="D32" s="20"/>
      <c r="E32" s="21" t="s">
        <v>277</v>
      </c>
      <c r="F32" s="20"/>
      <c r="G32" s="20"/>
      <c r="H32" s="20"/>
      <c r="I32" s="20"/>
      <c r="J32" s="30"/>
      <c r="K32" s="31"/>
      <c r="L32" s="31"/>
      <c r="M32" s="31"/>
      <c r="N32" s="32"/>
    </row>
    <row r="33" spans="1:14" x14ac:dyDescent="0.25">
      <c r="A33" s="19"/>
      <c r="B33" s="20"/>
      <c r="C33" s="20"/>
      <c r="D33" s="20"/>
      <c r="E33" s="20"/>
      <c r="F33" s="20"/>
      <c r="G33" s="20"/>
      <c r="H33" s="20"/>
      <c r="I33" s="20"/>
      <c r="J33" s="30"/>
      <c r="K33" s="31"/>
      <c r="L33" s="31"/>
      <c r="M33" s="31"/>
      <c r="N33" s="32"/>
    </row>
    <row r="34" spans="1:14" ht="23.25" x14ac:dyDescent="0.35">
      <c r="A34" s="19"/>
      <c r="B34" s="20"/>
      <c r="C34" s="20"/>
      <c r="D34" s="24" t="s">
        <v>263</v>
      </c>
      <c r="E34" s="20"/>
      <c r="F34" s="20"/>
      <c r="G34" s="20"/>
      <c r="H34" s="20"/>
      <c r="I34" s="20"/>
      <c r="J34" s="30"/>
      <c r="K34" s="31"/>
      <c r="L34" s="36" t="s">
        <v>273</v>
      </c>
      <c r="M34" s="31"/>
      <c r="N34" s="32"/>
    </row>
    <row r="35" spans="1:14" ht="15.75" thickBot="1" x14ac:dyDescent="0.3">
      <c r="A35" s="25"/>
      <c r="B35" s="26"/>
      <c r="C35" s="26"/>
      <c r="D35" s="26"/>
      <c r="E35" s="26"/>
      <c r="F35" s="26"/>
      <c r="G35" s="26"/>
      <c r="H35" s="26"/>
      <c r="I35" s="26"/>
      <c r="J35" s="37"/>
      <c r="K35" s="38"/>
      <c r="L35" s="38"/>
      <c r="M35" s="38"/>
      <c r="N35" s="3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7B80B-F6BA-4241-8A41-289A979B4D7B}">
  <sheetPr codeName="Feuil14"/>
  <dimension ref="A1:B15"/>
  <sheetViews>
    <sheetView workbookViewId="0">
      <selection activeCell="C34" sqref="C34"/>
    </sheetView>
  </sheetViews>
  <sheetFormatPr baseColWidth="10" defaultRowHeight="15" x14ac:dyDescent="0.25"/>
  <sheetData>
    <row r="1" spans="1:2" x14ac:dyDescent="0.25">
      <c r="A1" s="41" t="s">
        <v>254</v>
      </c>
      <c r="B1" s="41"/>
    </row>
    <row r="2" spans="1:2" x14ac:dyDescent="0.25">
      <c r="A2" t="s">
        <v>251</v>
      </c>
      <c r="B2" t="s">
        <v>253</v>
      </c>
    </row>
    <row r="3" spans="1:2" x14ac:dyDescent="0.25">
      <c r="A3" t="s">
        <v>49</v>
      </c>
      <c r="B3" t="s">
        <v>281</v>
      </c>
    </row>
    <row r="4" spans="1:2" x14ac:dyDescent="0.25">
      <c r="A4" t="s">
        <v>50</v>
      </c>
      <c r="B4" t="s">
        <v>282</v>
      </c>
    </row>
    <row r="5" spans="1:2" x14ac:dyDescent="0.25">
      <c r="A5" t="s">
        <v>51</v>
      </c>
      <c r="B5" t="s">
        <v>283</v>
      </c>
    </row>
    <row r="6" spans="1:2" x14ac:dyDescent="0.25">
      <c r="A6" t="s">
        <v>52</v>
      </c>
      <c r="B6" t="s">
        <v>281</v>
      </c>
    </row>
    <row r="7" spans="1:2" x14ac:dyDescent="0.25">
      <c r="A7" t="s">
        <v>53</v>
      </c>
      <c r="B7" t="s">
        <v>282</v>
      </c>
    </row>
    <row r="8" spans="1:2" x14ac:dyDescent="0.25">
      <c r="A8" t="s">
        <v>54</v>
      </c>
      <c r="B8" t="s">
        <v>281</v>
      </c>
    </row>
    <row r="9" spans="1:2" x14ac:dyDescent="0.25">
      <c r="A9" t="s">
        <v>55</v>
      </c>
      <c r="B9" t="s">
        <v>282</v>
      </c>
    </row>
    <row r="10" spans="1:2" x14ac:dyDescent="0.25">
      <c r="A10" t="s">
        <v>56</v>
      </c>
      <c r="B10" t="s">
        <v>283</v>
      </c>
    </row>
    <row r="11" spans="1:2" x14ac:dyDescent="0.25">
      <c r="A11" t="s">
        <v>61</v>
      </c>
      <c r="B11" t="s">
        <v>281</v>
      </c>
    </row>
    <row r="12" spans="1:2" x14ac:dyDescent="0.25">
      <c r="A12" t="s">
        <v>62</v>
      </c>
      <c r="B12" t="s">
        <v>281</v>
      </c>
    </row>
    <row r="13" spans="1:2" x14ac:dyDescent="0.25">
      <c r="A13" t="s">
        <v>236</v>
      </c>
      <c r="B13" t="s">
        <v>282</v>
      </c>
    </row>
    <row r="14" spans="1:2" x14ac:dyDescent="0.25">
      <c r="A14" t="s">
        <v>237</v>
      </c>
      <c r="B14" t="s">
        <v>283</v>
      </c>
    </row>
    <row r="15" spans="1:2" x14ac:dyDescent="0.25">
      <c r="A15" t="s">
        <v>241</v>
      </c>
      <c r="B15" t="s">
        <v>281</v>
      </c>
    </row>
  </sheetData>
  <mergeCells count="1">
    <mergeCell ref="A1:B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148E6-DCF8-46C2-9ED9-8B7D29DD768C}">
  <sheetPr codeName="Feuil4"/>
  <dimension ref="A1:E11"/>
  <sheetViews>
    <sheetView workbookViewId="0">
      <selection activeCell="A29" sqref="A29"/>
    </sheetView>
  </sheetViews>
  <sheetFormatPr baseColWidth="10" defaultRowHeight="15" x14ac:dyDescent="0.25"/>
  <cols>
    <col min="1" max="1" width="23.140625" customWidth="1"/>
    <col min="5" max="5" width="12.85546875" bestFit="1" customWidth="1"/>
  </cols>
  <sheetData>
    <row r="1" spans="1:5" x14ac:dyDescent="0.25">
      <c r="A1" s="41" t="s">
        <v>209</v>
      </c>
      <c r="B1" s="41"/>
      <c r="C1" s="41"/>
      <c r="D1" s="41"/>
    </row>
    <row r="2" spans="1:5" x14ac:dyDescent="0.25">
      <c r="A2" t="s">
        <v>199</v>
      </c>
      <c r="B2" t="s">
        <v>200</v>
      </c>
      <c r="C2" t="s">
        <v>201</v>
      </c>
      <c r="D2" t="s">
        <v>202</v>
      </c>
      <c r="E2" t="s">
        <v>203</v>
      </c>
    </row>
    <row r="3" spans="1:5" x14ac:dyDescent="0.25">
      <c r="A3" t="s">
        <v>204</v>
      </c>
      <c r="B3" s="1">
        <v>25569</v>
      </c>
      <c r="C3">
        <v>2</v>
      </c>
      <c r="D3" t="s">
        <v>64</v>
      </c>
      <c r="E3" t="s">
        <v>142</v>
      </c>
    </row>
    <row r="4" spans="1:5" x14ac:dyDescent="0.25">
      <c r="A4" t="s">
        <v>204</v>
      </c>
      <c r="B4" s="1">
        <v>25570</v>
      </c>
      <c r="C4">
        <v>3</v>
      </c>
      <c r="D4" t="s">
        <v>65</v>
      </c>
      <c r="E4" t="s">
        <v>149</v>
      </c>
    </row>
    <row r="5" spans="1:5" x14ac:dyDescent="0.25">
      <c r="A5" t="s">
        <v>204</v>
      </c>
      <c r="B5" s="1">
        <v>25571</v>
      </c>
      <c r="C5">
        <v>4</v>
      </c>
      <c r="D5" t="s">
        <v>66</v>
      </c>
      <c r="E5" t="s">
        <v>166</v>
      </c>
    </row>
    <row r="6" spans="1:5" x14ac:dyDescent="0.25">
      <c r="A6" t="s">
        <v>205</v>
      </c>
      <c r="B6" s="1">
        <v>25572</v>
      </c>
      <c r="C6">
        <v>5</v>
      </c>
      <c r="D6" t="s">
        <v>67</v>
      </c>
      <c r="E6" t="s">
        <v>195</v>
      </c>
    </row>
    <row r="7" spans="1:5" x14ac:dyDescent="0.25">
      <c r="A7" t="s">
        <v>205</v>
      </c>
      <c r="B7" s="1">
        <v>25573</v>
      </c>
      <c r="C7">
        <v>6</v>
      </c>
      <c r="D7" t="s">
        <v>100</v>
      </c>
      <c r="E7" t="s">
        <v>196</v>
      </c>
    </row>
    <row r="8" spans="1:5" x14ac:dyDescent="0.25">
      <c r="A8" t="s">
        <v>206</v>
      </c>
      <c r="B8" s="1">
        <v>25574</v>
      </c>
      <c r="C8">
        <v>7</v>
      </c>
      <c r="D8" t="s">
        <v>101</v>
      </c>
      <c r="E8" t="s">
        <v>197</v>
      </c>
    </row>
    <row r="9" spans="1:5" x14ac:dyDescent="0.25">
      <c r="A9" t="s">
        <v>207</v>
      </c>
      <c r="B9" s="1">
        <v>25575</v>
      </c>
      <c r="C9">
        <v>8</v>
      </c>
      <c r="D9" t="s">
        <v>188</v>
      </c>
      <c r="E9" t="s">
        <v>198</v>
      </c>
    </row>
    <row r="10" spans="1:5" x14ac:dyDescent="0.25">
      <c r="A10" t="s">
        <v>207</v>
      </c>
      <c r="B10" s="1">
        <v>25576</v>
      </c>
      <c r="C10">
        <v>9</v>
      </c>
      <c r="D10" t="s">
        <v>189</v>
      </c>
      <c r="E10" t="s">
        <v>149</v>
      </c>
    </row>
    <row r="11" spans="1:5" x14ac:dyDescent="0.25">
      <c r="A11" t="s">
        <v>207</v>
      </c>
      <c r="B11" s="1">
        <v>25577</v>
      </c>
      <c r="C11">
        <v>10</v>
      </c>
      <c r="D11" t="s">
        <v>190</v>
      </c>
      <c r="E11" t="s">
        <v>197</v>
      </c>
    </row>
  </sheetData>
  <mergeCells count="1">
    <mergeCell ref="A1:D1"/>
  </mergeCells>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3DD7B-7275-44D3-ACD3-18FACB6A7505}">
  <sheetPr codeName="Feuil13"/>
  <dimension ref="A1:E3"/>
  <sheetViews>
    <sheetView workbookViewId="0">
      <selection activeCell="B4" sqref="B4"/>
    </sheetView>
  </sheetViews>
  <sheetFormatPr baseColWidth="10" defaultRowHeight="15" x14ac:dyDescent="0.25"/>
  <cols>
    <col min="1" max="1" width="6.7109375" bestFit="1" customWidth="1"/>
    <col min="2" max="2" width="6.28515625" bestFit="1" customWidth="1"/>
    <col min="3" max="3" width="11.85546875" bestFit="1" customWidth="1"/>
    <col min="4" max="4" width="14.28515625" bestFit="1" customWidth="1"/>
    <col min="5" max="5" width="16.42578125" bestFit="1" customWidth="1"/>
  </cols>
  <sheetData>
    <row r="1" spans="1:5" x14ac:dyDescent="0.25">
      <c r="A1" s="41" t="s">
        <v>223</v>
      </c>
      <c r="B1" s="41"/>
      <c r="C1" s="41"/>
      <c r="D1" s="41"/>
      <c r="E1" s="41"/>
    </row>
    <row r="2" spans="1:5" x14ac:dyDescent="0.25">
      <c r="A2" t="s">
        <v>218</v>
      </c>
      <c r="B2" t="s">
        <v>219</v>
      </c>
      <c r="C2" t="s">
        <v>220</v>
      </c>
      <c r="D2" t="s">
        <v>221</v>
      </c>
      <c r="E2" t="s">
        <v>222</v>
      </c>
    </row>
    <row r="3" spans="1:5" x14ac:dyDescent="0.25">
      <c r="A3" t="s">
        <v>224</v>
      </c>
      <c r="B3">
        <v>5</v>
      </c>
      <c r="C3" s="1">
        <v>25569</v>
      </c>
      <c r="D3" s="1">
        <v>25628</v>
      </c>
      <c r="E3" t="s">
        <v>8</v>
      </c>
    </row>
  </sheetData>
  <mergeCells count="1">
    <mergeCell ref="A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D3611-2A31-495D-98EF-1DC26216836D}">
  <sheetPr codeName="Feuil6"/>
  <dimension ref="A1:E24"/>
  <sheetViews>
    <sheetView workbookViewId="0">
      <selection activeCell="H28" sqref="H28"/>
    </sheetView>
  </sheetViews>
  <sheetFormatPr baseColWidth="10" defaultRowHeight="15" x14ac:dyDescent="0.25"/>
  <cols>
    <col min="1" max="1" width="14.42578125" bestFit="1" customWidth="1"/>
    <col min="2" max="2" width="19.140625" bestFit="1" customWidth="1"/>
    <col min="3" max="3" width="16.140625" bestFit="1" customWidth="1"/>
    <col min="4" max="4" width="19" bestFit="1" customWidth="1"/>
  </cols>
  <sheetData>
    <row r="1" spans="1:5" x14ac:dyDescent="0.25">
      <c r="A1" s="41" t="s">
        <v>5</v>
      </c>
      <c r="B1" s="41"/>
      <c r="C1" s="41"/>
      <c r="D1" s="41"/>
      <c r="E1" s="41"/>
    </row>
    <row r="2" spans="1:5" x14ac:dyDescent="0.25">
      <c r="A2" s="3" t="s">
        <v>4</v>
      </c>
      <c r="B2" s="4" t="s">
        <v>40</v>
      </c>
      <c r="C2" s="4" t="s">
        <v>176</v>
      </c>
      <c r="D2" s="4" t="s">
        <v>0</v>
      </c>
      <c r="E2" s="5" t="s">
        <v>79</v>
      </c>
    </row>
    <row r="3" spans="1:5" x14ac:dyDescent="0.25">
      <c r="A3" t="s">
        <v>12</v>
      </c>
      <c r="B3" t="s">
        <v>229</v>
      </c>
      <c r="C3" s="1">
        <v>25569</v>
      </c>
      <c r="D3" t="s">
        <v>8</v>
      </c>
      <c r="E3" t="s">
        <v>82</v>
      </c>
    </row>
    <row r="4" spans="1:5" x14ac:dyDescent="0.25">
      <c r="A4" t="s">
        <v>15</v>
      </c>
      <c r="B4" t="s">
        <v>228</v>
      </c>
      <c r="C4" s="1">
        <v>25935</v>
      </c>
      <c r="D4" t="s">
        <v>9</v>
      </c>
      <c r="E4" t="s">
        <v>83</v>
      </c>
    </row>
    <row r="5" spans="1:5" x14ac:dyDescent="0.25">
      <c r="A5" t="s">
        <v>16</v>
      </c>
      <c r="B5" t="s">
        <v>228</v>
      </c>
      <c r="C5" s="1">
        <v>25936</v>
      </c>
      <c r="D5" t="s">
        <v>8</v>
      </c>
      <c r="E5" t="s">
        <v>84</v>
      </c>
    </row>
    <row r="6" spans="1:5" x14ac:dyDescent="0.25">
      <c r="A6" t="s">
        <v>17</v>
      </c>
      <c r="B6" t="s">
        <v>229</v>
      </c>
      <c r="C6" s="1">
        <v>25572</v>
      </c>
      <c r="D6" t="s">
        <v>10</v>
      </c>
      <c r="E6" t="s">
        <v>85</v>
      </c>
    </row>
    <row r="7" spans="1:5" x14ac:dyDescent="0.25">
      <c r="A7" t="s">
        <v>18</v>
      </c>
      <c r="B7" t="s">
        <v>229</v>
      </c>
      <c r="C7" s="1">
        <v>25573</v>
      </c>
      <c r="D7" t="s">
        <v>11</v>
      </c>
      <c r="E7" t="s">
        <v>86</v>
      </c>
    </row>
    <row r="8" spans="1:5" x14ac:dyDescent="0.25">
      <c r="A8" t="s">
        <v>19</v>
      </c>
      <c r="B8" t="s">
        <v>229</v>
      </c>
      <c r="C8" s="1">
        <v>25574</v>
      </c>
      <c r="D8" t="s">
        <v>8</v>
      </c>
      <c r="E8" t="s">
        <v>87</v>
      </c>
    </row>
    <row r="9" spans="1:5" x14ac:dyDescent="0.25">
      <c r="A9" t="s">
        <v>20</v>
      </c>
      <c r="B9" t="s">
        <v>227</v>
      </c>
      <c r="C9" s="1">
        <v>25575</v>
      </c>
      <c r="D9" t="s">
        <v>46</v>
      </c>
      <c r="E9" t="s">
        <v>88</v>
      </c>
    </row>
    <row r="10" spans="1:5" x14ac:dyDescent="0.25">
      <c r="A10" t="s">
        <v>21</v>
      </c>
      <c r="B10" t="s">
        <v>227</v>
      </c>
      <c r="C10" s="1">
        <v>25576</v>
      </c>
      <c r="D10" t="s">
        <v>9</v>
      </c>
      <c r="E10" t="s">
        <v>89</v>
      </c>
    </row>
    <row r="11" spans="1:5" x14ac:dyDescent="0.25">
      <c r="A11" t="s">
        <v>22</v>
      </c>
      <c r="B11" t="s">
        <v>229</v>
      </c>
      <c r="C11" s="1">
        <v>25577</v>
      </c>
      <c r="D11" t="s">
        <v>11</v>
      </c>
      <c r="E11" t="s">
        <v>90</v>
      </c>
    </row>
    <row r="12" spans="1:5" x14ac:dyDescent="0.25">
      <c r="A12" t="s">
        <v>23</v>
      </c>
      <c r="B12" t="s">
        <v>228</v>
      </c>
      <c r="C12" s="1">
        <v>25578</v>
      </c>
      <c r="D12" t="s">
        <v>9</v>
      </c>
      <c r="E12" t="s">
        <v>91</v>
      </c>
    </row>
    <row r="13" spans="1:5" x14ac:dyDescent="0.25">
      <c r="A13" t="s">
        <v>24</v>
      </c>
      <c r="B13" t="s">
        <v>227</v>
      </c>
      <c r="C13" s="1">
        <v>25579</v>
      </c>
      <c r="D13" t="s">
        <v>10</v>
      </c>
      <c r="E13" t="s">
        <v>92</v>
      </c>
    </row>
    <row r="14" spans="1:5" x14ac:dyDescent="0.25">
      <c r="A14" t="s">
        <v>25</v>
      </c>
      <c r="B14" t="s">
        <v>227</v>
      </c>
      <c r="C14" s="1">
        <v>25580</v>
      </c>
      <c r="D14" t="s">
        <v>8</v>
      </c>
      <c r="E14" t="s">
        <v>93</v>
      </c>
    </row>
    <row r="15" spans="1:5" x14ac:dyDescent="0.25">
      <c r="A15" t="s">
        <v>26</v>
      </c>
      <c r="B15" t="s">
        <v>227</v>
      </c>
      <c r="C15" s="1">
        <v>25581</v>
      </c>
      <c r="D15" t="s">
        <v>8</v>
      </c>
      <c r="E15" t="s">
        <v>94</v>
      </c>
    </row>
    <row r="16" spans="1:5" x14ac:dyDescent="0.25">
      <c r="A16" t="s">
        <v>27</v>
      </c>
      <c r="B16" t="s">
        <v>227</v>
      </c>
      <c r="C16" s="1">
        <v>25582</v>
      </c>
      <c r="D16" t="s">
        <v>11</v>
      </c>
      <c r="E16" t="s">
        <v>95</v>
      </c>
    </row>
    <row r="17" spans="1:5" x14ac:dyDescent="0.25">
      <c r="A17" t="s">
        <v>243</v>
      </c>
      <c r="B17" t="s">
        <v>228</v>
      </c>
      <c r="C17" s="1">
        <f>DATE(2021,12,12)</f>
        <v>44542</v>
      </c>
      <c r="D17" t="s">
        <v>11</v>
      </c>
      <c r="E17" t="s">
        <v>255</v>
      </c>
    </row>
    <row r="18" spans="1:5" x14ac:dyDescent="0.25">
      <c r="A18" t="s">
        <v>244</v>
      </c>
      <c r="B18" t="s">
        <v>229</v>
      </c>
      <c r="C18" s="1">
        <f>DATE(2021,12,13)</f>
        <v>44543</v>
      </c>
      <c r="D18" t="s">
        <v>8</v>
      </c>
      <c r="E18" t="s">
        <v>256</v>
      </c>
    </row>
    <row r="19" spans="1:5" x14ac:dyDescent="0.25">
      <c r="A19" t="s">
        <v>245</v>
      </c>
      <c r="B19" t="s">
        <v>229</v>
      </c>
      <c r="C19" s="1">
        <f>DATE(2021,12,14)</f>
        <v>44544</v>
      </c>
      <c r="D19" t="s">
        <v>46</v>
      </c>
      <c r="E19" t="s">
        <v>257</v>
      </c>
    </row>
    <row r="20" spans="1:5" x14ac:dyDescent="0.25">
      <c r="A20" t="s">
        <v>246</v>
      </c>
      <c r="B20" t="s">
        <v>229</v>
      </c>
      <c r="C20" s="1">
        <f>DATE(2022,1,12)</f>
        <v>44573</v>
      </c>
      <c r="D20" t="s">
        <v>9</v>
      </c>
      <c r="E20" t="s">
        <v>258</v>
      </c>
    </row>
    <row r="21" spans="1:5" x14ac:dyDescent="0.25">
      <c r="A21" t="s">
        <v>247</v>
      </c>
      <c r="B21" t="s">
        <v>227</v>
      </c>
      <c r="C21" s="1">
        <f>DATE(2022,1,13)</f>
        <v>44574</v>
      </c>
      <c r="D21" t="s">
        <v>11</v>
      </c>
      <c r="E21" t="s">
        <v>259</v>
      </c>
    </row>
    <row r="22" spans="1:5" x14ac:dyDescent="0.25">
      <c r="A22" t="s">
        <v>248</v>
      </c>
      <c r="B22" t="s">
        <v>227</v>
      </c>
      <c r="C22" s="1">
        <f>DATE(2022,1,14)</f>
        <v>44575</v>
      </c>
      <c r="D22" t="s">
        <v>9</v>
      </c>
      <c r="E22" t="s">
        <v>260</v>
      </c>
    </row>
    <row r="23" spans="1:5" x14ac:dyDescent="0.25">
      <c r="A23" t="s">
        <v>249</v>
      </c>
      <c r="B23" t="s">
        <v>229</v>
      </c>
      <c r="C23" s="1">
        <f>DATE(2022,1,12)</f>
        <v>44573</v>
      </c>
      <c r="D23" t="s">
        <v>10</v>
      </c>
      <c r="E23" t="s">
        <v>261</v>
      </c>
    </row>
    <row r="24" spans="1:5" x14ac:dyDescent="0.25">
      <c r="A24" t="s">
        <v>250</v>
      </c>
      <c r="B24" t="s">
        <v>228</v>
      </c>
      <c r="C24" s="1">
        <f>DATE(2022,1,13)</f>
        <v>44574</v>
      </c>
      <c r="D24" t="s">
        <v>8</v>
      </c>
      <c r="E24" t="s">
        <v>262</v>
      </c>
    </row>
  </sheetData>
  <mergeCells count="1">
    <mergeCell ref="A1:E1"/>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102EF-0CE0-4C0E-AFAF-7253D4A69BDE}">
  <sheetPr codeName="Feuil2"/>
  <dimension ref="A1:E9"/>
  <sheetViews>
    <sheetView workbookViewId="0">
      <selection activeCell="B3" sqref="B3:B8"/>
    </sheetView>
  </sheetViews>
  <sheetFormatPr baseColWidth="10" defaultRowHeight="15" x14ac:dyDescent="0.25"/>
  <cols>
    <col min="1" max="1" width="20.28515625" customWidth="1"/>
    <col min="2" max="2" width="21.7109375" customWidth="1"/>
    <col min="3" max="3" width="24.140625" customWidth="1"/>
    <col min="4" max="4" width="23.140625" customWidth="1"/>
  </cols>
  <sheetData>
    <row r="1" spans="1:5" x14ac:dyDescent="0.25">
      <c r="A1" s="41" t="s">
        <v>175</v>
      </c>
      <c r="B1" s="41"/>
      <c r="C1" s="41"/>
      <c r="D1" s="41"/>
      <c r="E1" s="41"/>
    </row>
    <row r="2" spans="1:5" x14ac:dyDescent="0.25">
      <c r="A2" t="s">
        <v>0</v>
      </c>
      <c r="B2" t="s">
        <v>1</v>
      </c>
      <c r="C2" t="s">
        <v>2</v>
      </c>
      <c r="D2" t="s">
        <v>3</v>
      </c>
      <c r="E2" t="s">
        <v>215</v>
      </c>
    </row>
    <row r="3" spans="1:5" x14ac:dyDescent="0.25">
      <c r="A3" t="s">
        <v>8</v>
      </c>
      <c r="B3" t="s">
        <v>160</v>
      </c>
      <c r="C3" t="s">
        <v>159</v>
      </c>
      <c r="D3">
        <v>4440</v>
      </c>
      <c r="E3">
        <v>1</v>
      </c>
    </row>
    <row r="4" spans="1:5" x14ac:dyDescent="0.25">
      <c r="A4" t="s">
        <v>9</v>
      </c>
      <c r="B4" t="s">
        <v>6</v>
      </c>
      <c r="C4" t="s">
        <v>7</v>
      </c>
      <c r="D4">
        <v>0</v>
      </c>
      <c r="E4">
        <v>0</v>
      </c>
    </row>
    <row r="5" spans="1:5" x14ac:dyDescent="0.25">
      <c r="A5" t="s">
        <v>10</v>
      </c>
      <c r="B5" t="s">
        <v>28</v>
      </c>
      <c r="C5" t="s">
        <v>29</v>
      </c>
      <c r="D5">
        <v>1231</v>
      </c>
      <c r="E5">
        <v>1</v>
      </c>
    </row>
    <row r="6" spans="1:5" x14ac:dyDescent="0.25">
      <c r="A6" t="s">
        <v>11</v>
      </c>
      <c r="B6" t="s">
        <v>13</v>
      </c>
      <c r="C6" t="s">
        <v>14</v>
      </c>
      <c r="D6">
        <v>567</v>
      </c>
      <c r="E6">
        <v>1</v>
      </c>
    </row>
    <row r="7" spans="1:5" x14ac:dyDescent="0.25">
      <c r="A7" t="s">
        <v>45</v>
      </c>
      <c r="B7" t="s">
        <v>35</v>
      </c>
      <c r="C7" t="s">
        <v>36</v>
      </c>
      <c r="D7">
        <v>123</v>
      </c>
      <c r="E7">
        <v>1</v>
      </c>
    </row>
    <row r="8" spans="1:5" x14ac:dyDescent="0.25">
      <c r="A8" t="s">
        <v>46</v>
      </c>
      <c r="B8" t="s">
        <v>38</v>
      </c>
      <c r="C8" t="s">
        <v>39</v>
      </c>
      <c r="D8">
        <v>0</v>
      </c>
      <c r="E8">
        <v>0</v>
      </c>
    </row>
    <row r="9" spans="1:5" x14ac:dyDescent="0.25">
      <c r="A9" t="s">
        <v>98</v>
      </c>
      <c r="B9" t="s">
        <v>58</v>
      </c>
      <c r="C9" t="s">
        <v>59</v>
      </c>
      <c r="D9">
        <v>632</v>
      </c>
      <c r="E9">
        <v>1</v>
      </c>
    </row>
  </sheetData>
  <mergeCells count="1">
    <mergeCell ref="A1:E1"/>
  </mergeCells>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8A0-1B28-4A43-A606-31505E32ABDE}">
  <sheetPr codeName="Feuil9"/>
  <dimension ref="A1:B16"/>
  <sheetViews>
    <sheetView workbookViewId="0">
      <selection activeCell="A13" sqref="A13:A16"/>
    </sheetView>
  </sheetViews>
  <sheetFormatPr baseColWidth="10" defaultRowHeight="15" x14ac:dyDescent="0.25"/>
  <cols>
    <col min="2" max="2" width="15.5703125" bestFit="1" customWidth="1"/>
  </cols>
  <sheetData>
    <row r="1" spans="1:2" x14ac:dyDescent="0.25">
      <c r="A1" s="41" t="s">
        <v>81</v>
      </c>
      <c r="B1" s="41"/>
    </row>
    <row r="2" spans="1:2" x14ac:dyDescent="0.25">
      <c r="A2" t="s">
        <v>79</v>
      </c>
      <c r="B2" t="s">
        <v>120</v>
      </c>
    </row>
    <row r="3" spans="1:2" x14ac:dyDescent="0.25">
      <c r="A3" t="s">
        <v>82</v>
      </c>
      <c r="B3" s="6">
        <v>25569</v>
      </c>
    </row>
    <row r="4" spans="1:2" x14ac:dyDescent="0.25">
      <c r="A4" t="s">
        <v>83</v>
      </c>
      <c r="B4" s="6">
        <v>25935</v>
      </c>
    </row>
    <row r="5" spans="1:2" x14ac:dyDescent="0.25">
      <c r="A5" t="s">
        <v>84</v>
      </c>
      <c r="B5" s="6">
        <v>25936</v>
      </c>
    </row>
    <row r="6" spans="1:2" x14ac:dyDescent="0.25">
      <c r="A6" t="s">
        <v>85</v>
      </c>
      <c r="B6" s="6">
        <v>25572</v>
      </c>
    </row>
    <row r="7" spans="1:2" x14ac:dyDescent="0.25">
      <c r="A7" t="s">
        <v>86</v>
      </c>
      <c r="B7" s="6">
        <v>25573</v>
      </c>
    </row>
    <row r="8" spans="1:2" x14ac:dyDescent="0.25">
      <c r="A8" t="s">
        <v>87</v>
      </c>
      <c r="B8" s="6">
        <v>25574</v>
      </c>
    </row>
    <row r="9" spans="1:2" x14ac:dyDescent="0.25">
      <c r="A9" t="s">
        <v>88</v>
      </c>
      <c r="B9" s="6">
        <v>25575</v>
      </c>
    </row>
    <row r="10" spans="1:2" x14ac:dyDescent="0.25">
      <c r="A10" t="s">
        <v>89</v>
      </c>
      <c r="B10" s="6">
        <v>25576</v>
      </c>
    </row>
    <row r="11" spans="1:2" x14ac:dyDescent="0.25">
      <c r="A11" t="s">
        <v>90</v>
      </c>
      <c r="B11" s="6">
        <v>25577</v>
      </c>
    </row>
    <row r="12" spans="1:2" x14ac:dyDescent="0.25">
      <c r="A12" t="s">
        <v>91</v>
      </c>
      <c r="B12" s="6">
        <v>25578</v>
      </c>
    </row>
    <row r="13" spans="1:2" x14ac:dyDescent="0.25">
      <c r="A13" t="s">
        <v>92</v>
      </c>
      <c r="B13" s="6">
        <v>25579</v>
      </c>
    </row>
    <row r="14" spans="1:2" x14ac:dyDescent="0.25">
      <c r="A14" t="s">
        <v>93</v>
      </c>
      <c r="B14" s="6">
        <v>25580</v>
      </c>
    </row>
    <row r="15" spans="1:2" x14ac:dyDescent="0.25">
      <c r="A15" t="s">
        <v>94</v>
      </c>
      <c r="B15" s="6">
        <v>25581</v>
      </c>
    </row>
    <row r="16" spans="1:2" x14ac:dyDescent="0.25">
      <c r="A16" t="s">
        <v>95</v>
      </c>
      <c r="B16" s="6">
        <v>25582</v>
      </c>
    </row>
  </sheetData>
  <mergeCells count="1">
    <mergeCell ref="A1:B1"/>
  </mergeCells>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E9D7C-EB36-4930-ACF0-72970FB67D61}">
  <sheetPr codeName="Feuil10"/>
  <dimension ref="A1:E22"/>
  <sheetViews>
    <sheetView workbookViewId="0">
      <selection activeCell="A4" sqref="A4"/>
    </sheetView>
  </sheetViews>
  <sheetFormatPr baseColWidth="10" defaultRowHeight="15" x14ac:dyDescent="0.25"/>
  <cols>
    <col min="1" max="1" width="22.42578125" customWidth="1"/>
    <col min="2" max="2" width="25.5703125" customWidth="1"/>
    <col min="3" max="3" width="22.28515625" bestFit="1" customWidth="1"/>
    <col min="4" max="4" width="17.140625" bestFit="1" customWidth="1"/>
    <col min="5" max="5" width="25.42578125" bestFit="1" customWidth="1"/>
  </cols>
  <sheetData>
    <row r="1" spans="1:5" x14ac:dyDescent="0.25">
      <c r="A1" s="41" t="s">
        <v>156</v>
      </c>
      <c r="B1" s="41"/>
      <c r="C1" s="41"/>
      <c r="D1" s="41"/>
      <c r="E1" s="41"/>
    </row>
    <row r="2" spans="1:5" x14ac:dyDescent="0.25">
      <c r="A2" t="s">
        <v>109</v>
      </c>
      <c r="B2" t="s">
        <v>79</v>
      </c>
      <c r="C2" t="s">
        <v>179</v>
      </c>
      <c r="D2" t="s">
        <v>180</v>
      </c>
    </row>
    <row r="3" spans="1:5" x14ac:dyDescent="0.25">
      <c r="A3" t="s">
        <v>126</v>
      </c>
      <c r="B3" t="s">
        <v>82</v>
      </c>
      <c r="C3" t="s">
        <v>190</v>
      </c>
      <c r="D3">
        <v>2</v>
      </c>
    </row>
    <row r="4" spans="1:5" x14ac:dyDescent="0.25">
      <c r="A4" t="s">
        <v>127</v>
      </c>
      <c r="B4" t="s">
        <v>82</v>
      </c>
      <c r="C4" t="s">
        <v>65</v>
      </c>
      <c r="D4">
        <v>3</v>
      </c>
    </row>
    <row r="5" spans="1:5" x14ac:dyDescent="0.25">
      <c r="A5" t="s">
        <v>128</v>
      </c>
      <c r="B5" t="s">
        <v>82</v>
      </c>
      <c r="C5" t="s">
        <v>101</v>
      </c>
      <c r="D5">
        <v>43</v>
      </c>
    </row>
    <row r="6" spans="1:5" x14ac:dyDescent="0.25">
      <c r="A6" t="s">
        <v>129</v>
      </c>
      <c r="B6" t="s">
        <v>83</v>
      </c>
      <c r="C6" t="s">
        <v>67</v>
      </c>
      <c r="D6">
        <v>6</v>
      </c>
    </row>
    <row r="7" spans="1:5" x14ac:dyDescent="0.25">
      <c r="A7" t="s">
        <v>130</v>
      </c>
      <c r="B7" t="s">
        <v>83</v>
      </c>
      <c r="C7" t="s">
        <v>100</v>
      </c>
      <c r="D7">
        <v>1</v>
      </c>
    </row>
    <row r="8" spans="1:5" x14ac:dyDescent="0.25">
      <c r="A8" t="s">
        <v>131</v>
      </c>
      <c r="B8" t="s">
        <v>84</v>
      </c>
      <c r="C8" t="s">
        <v>64</v>
      </c>
      <c r="D8">
        <v>34</v>
      </c>
    </row>
    <row r="9" spans="1:5" x14ac:dyDescent="0.25">
      <c r="A9" t="s">
        <v>132</v>
      </c>
      <c r="B9" t="s">
        <v>85</v>
      </c>
      <c r="C9" t="s">
        <v>101</v>
      </c>
      <c r="D9">
        <v>21</v>
      </c>
    </row>
    <row r="10" spans="1:5" x14ac:dyDescent="0.25">
      <c r="A10" t="s">
        <v>133</v>
      </c>
      <c r="B10" t="s">
        <v>86</v>
      </c>
      <c r="C10" t="s">
        <v>66</v>
      </c>
      <c r="D10">
        <v>3</v>
      </c>
    </row>
    <row r="11" spans="1:5" x14ac:dyDescent="0.25">
      <c r="A11" t="s">
        <v>134</v>
      </c>
      <c r="B11" t="s">
        <v>86</v>
      </c>
      <c r="C11" t="s">
        <v>65</v>
      </c>
      <c r="D11">
        <v>2</v>
      </c>
    </row>
    <row r="12" spans="1:5" x14ac:dyDescent="0.25">
      <c r="A12" t="s">
        <v>135</v>
      </c>
      <c r="B12" t="s">
        <v>87</v>
      </c>
      <c r="C12" t="s">
        <v>66</v>
      </c>
      <c r="D12">
        <v>11</v>
      </c>
    </row>
    <row r="13" spans="1:5" x14ac:dyDescent="0.25">
      <c r="A13" t="s">
        <v>136</v>
      </c>
      <c r="B13" t="s">
        <v>88</v>
      </c>
      <c r="C13" t="s">
        <v>101</v>
      </c>
      <c r="D13">
        <v>2</v>
      </c>
    </row>
    <row r="14" spans="1:5" x14ac:dyDescent="0.25">
      <c r="A14" t="s">
        <v>137</v>
      </c>
      <c r="B14" t="s">
        <v>89</v>
      </c>
      <c r="C14" t="s">
        <v>67</v>
      </c>
      <c r="D14">
        <v>3</v>
      </c>
    </row>
    <row r="15" spans="1:5" x14ac:dyDescent="0.25">
      <c r="A15" t="s">
        <v>138</v>
      </c>
      <c r="B15" t="s">
        <v>89</v>
      </c>
      <c r="C15" t="s">
        <v>189</v>
      </c>
      <c r="D15">
        <v>6</v>
      </c>
    </row>
    <row r="16" spans="1:5" x14ac:dyDescent="0.25">
      <c r="A16" t="s">
        <v>139</v>
      </c>
      <c r="B16" t="s">
        <v>89</v>
      </c>
      <c r="C16" t="s">
        <v>66</v>
      </c>
      <c r="D16">
        <v>9</v>
      </c>
    </row>
    <row r="17" spans="1:4" x14ac:dyDescent="0.25">
      <c r="A17" t="s">
        <v>140</v>
      </c>
      <c r="B17" t="s">
        <v>90</v>
      </c>
      <c r="C17" t="s">
        <v>65</v>
      </c>
      <c r="D17">
        <v>3</v>
      </c>
    </row>
    <row r="18" spans="1:4" x14ac:dyDescent="0.25">
      <c r="A18" t="s">
        <v>141</v>
      </c>
      <c r="B18" t="s">
        <v>91</v>
      </c>
      <c r="C18" t="s">
        <v>192</v>
      </c>
      <c r="D18">
        <v>6</v>
      </c>
    </row>
    <row r="19" spans="1:4" x14ac:dyDescent="0.25">
      <c r="A19" t="s">
        <v>143</v>
      </c>
      <c r="B19" t="s">
        <v>92</v>
      </c>
      <c r="C19" t="s">
        <v>194</v>
      </c>
      <c r="D19">
        <v>3</v>
      </c>
    </row>
    <row r="20" spans="1:4" x14ac:dyDescent="0.25">
      <c r="A20" t="s">
        <v>144</v>
      </c>
      <c r="B20" t="s">
        <v>93</v>
      </c>
      <c r="C20" t="s">
        <v>67</v>
      </c>
      <c r="D20">
        <v>6</v>
      </c>
    </row>
    <row r="21" spans="1:4" x14ac:dyDescent="0.25">
      <c r="A21" t="s">
        <v>145</v>
      </c>
      <c r="B21" t="s">
        <v>94</v>
      </c>
      <c r="C21" t="s">
        <v>101</v>
      </c>
      <c r="D21">
        <v>2</v>
      </c>
    </row>
    <row r="22" spans="1:4" x14ac:dyDescent="0.25">
      <c r="A22" t="s">
        <v>146</v>
      </c>
      <c r="B22" t="s">
        <v>95</v>
      </c>
      <c r="C22" t="s">
        <v>66</v>
      </c>
      <c r="D22">
        <v>1</v>
      </c>
    </row>
  </sheetData>
  <mergeCells count="1">
    <mergeCell ref="A1:E1"/>
  </mergeCells>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2F50E-7FAD-40F0-BA89-852CCA1377C6}">
  <sheetPr codeName="Feuil3"/>
  <dimension ref="A1:I11"/>
  <sheetViews>
    <sheetView workbookViewId="0">
      <selection activeCell="F17" sqref="F17"/>
    </sheetView>
  </sheetViews>
  <sheetFormatPr baseColWidth="10" defaultRowHeight="15" x14ac:dyDescent="0.25"/>
  <cols>
    <col min="1" max="1" width="16.5703125" customWidth="1"/>
    <col min="2" max="2" width="21.7109375" customWidth="1"/>
    <col min="3" max="3" width="22.42578125" customWidth="1"/>
    <col min="9" max="9" width="18" bestFit="1" customWidth="1"/>
  </cols>
  <sheetData>
    <row r="1" spans="1:9" x14ac:dyDescent="0.25">
      <c r="A1" s="41" t="s">
        <v>208</v>
      </c>
      <c r="B1" s="41"/>
      <c r="C1" s="41"/>
      <c r="I1" t="s">
        <v>217</v>
      </c>
    </row>
    <row r="2" spans="1:9" x14ac:dyDescent="0.25">
      <c r="A2" t="s">
        <v>121</v>
      </c>
      <c r="B2" t="s">
        <v>122</v>
      </c>
      <c r="C2" t="s">
        <v>124</v>
      </c>
      <c r="I2">
        <v>16</v>
      </c>
    </row>
    <row r="3" spans="1:9" x14ac:dyDescent="0.25">
      <c r="A3" t="s">
        <v>142</v>
      </c>
      <c r="B3" t="s">
        <v>125</v>
      </c>
      <c r="C3">
        <v>75008</v>
      </c>
    </row>
    <row r="4" spans="1:9" x14ac:dyDescent="0.25">
      <c r="A4" t="s">
        <v>149</v>
      </c>
      <c r="B4" t="s">
        <v>148</v>
      </c>
      <c r="C4">
        <v>75014</v>
      </c>
    </row>
    <row r="5" spans="1:9" x14ac:dyDescent="0.25">
      <c r="A5" t="s">
        <v>166</v>
      </c>
      <c r="B5" t="s">
        <v>172</v>
      </c>
      <c r="C5">
        <v>91000</v>
      </c>
    </row>
    <row r="6" spans="1:9" x14ac:dyDescent="0.25">
      <c r="A6" t="s">
        <v>195</v>
      </c>
      <c r="B6" t="s">
        <v>173</v>
      </c>
      <c r="C6">
        <v>92000</v>
      </c>
    </row>
    <row r="7" spans="1:9" x14ac:dyDescent="0.25">
      <c r="A7" t="s">
        <v>196</v>
      </c>
      <c r="B7" t="s">
        <v>174</v>
      </c>
      <c r="C7">
        <v>65000</v>
      </c>
    </row>
    <row r="8" spans="1:9" x14ac:dyDescent="0.25">
      <c r="A8" t="s">
        <v>198</v>
      </c>
      <c r="B8" t="s">
        <v>174</v>
      </c>
      <c r="C8">
        <v>45001</v>
      </c>
    </row>
    <row r="9" spans="1:9" x14ac:dyDescent="0.25">
      <c r="A9" t="s">
        <v>233</v>
      </c>
      <c r="B9" t="s">
        <v>234</v>
      </c>
      <c r="C9">
        <v>66666</v>
      </c>
    </row>
    <row r="10" spans="1:9" x14ac:dyDescent="0.25">
      <c r="A10" t="s">
        <v>285</v>
      </c>
      <c r="B10" t="s">
        <v>286</v>
      </c>
      <c r="C10">
        <v>69420</v>
      </c>
    </row>
    <row r="11" spans="1:9" x14ac:dyDescent="0.25">
      <c r="A11" t="s">
        <v>287</v>
      </c>
      <c r="B11">
        <v>12345</v>
      </c>
      <c r="C11">
        <v>12345</v>
      </c>
    </row>
  </sheetData>
  <mergeCells count="1">
    <mergeCell ref="A1:C1"/>
  </mergeCells>
  <phoneticPr fontId="2"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530F-A1CF-4325-B43B-ABA1CDAEDA9E}">
  <sheetPr codeName="Feuil8"/>
  <dimension ref="A1:D5"/>
  <sheetViews>
    <sheetView workbookViewId="0">
      <selection activeCell="B5" sqref="B5"/>
    </sheetView>
  </sheetViews>
  <sheetFormatPr baseColWidth="10" defaultRowHeight="15" x14ac:dyDescent="0.25"/>
  <cols>
    <col min="2" max="2" width="76.140625" customWidth="1"/>
    <col min="3" max="3" width="15.7109375" customWidth="1"/>
    <col min="4" max="4" width="14.28515625" customWidth="1"/>
  </cols>
  <sheetData>
    <row r="1" spans="1:4" x14ac:dyDescent="0.25">
      <c r="A1" s="41" t="s">
        <v>150</v>
      </c>
      <c r="B1" s="41"/>
      <c r="C1" s="41"/>
      <c r="D1" s="41"/>
    </row>
    <row r="2" spans="1:4" x14ac:dyDescent="0.25">
      <c r="A2" t="s">
        <v>151</v>
      </c>
      <c r="B2" t="s">
        <v>152</v>
      </c>
      <c r="C2" t="s">
        <v>153</v>
      </c>
      <c r="D2" t="s">
        <v>154</v>
      </c>
    </row>
    <row r="3" spans="1:4" x14ac:dyDescent="0.25">
      <c r="A3" t="s">
        <v>161</v>
      </c>
      <c r="B3" t="s">
        <v>158</v>
      </c>
      <c r="C3" t="s">
        <v>157</v>
      </c>
      <c r="D3" t="b">
        <v>0</v>
      </c>
    </row>
    <row r="4" spans="1:4" x14ac:dyDescent="0.25">
      <c r="A4" t="s">
        <v>162</v>
      </c>
      <c r="B4" t="s">
        <v>182</v>
      </c>
      <c r="C4" t="s">
        <v>157</v>
      </c>
      <c r="D4" t="b">
        <v>1</v>
      </c>
    </row>
    <row r="5" spans="1:4" x14ac:dyDescent="0.25">
      <c r="A5" t="s">
        <v>181</v>
      </c>
      <c r="B5" t="s">
        <v>184</v>
      </c>
      <c r="C5" t="s">
        <v>157</v>
      </c>
      <c r="D5" t="b">
        <v>1</v>
      </c>
    </row>
  </sheetData>
  <mergeCells count="1">
    <mergeCell ref="A1:D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E1CD4-5E57-415E-8706-89F376F7202B}">
  <sheetPr codeName="Feuil7"/>
  <dimension ref="A1:G24"/>
  <sheetViews>
    <sheetView workbookViewId="0">
      <selection activeCell="C23" sqref="C23"/>
    </sheetView>
  </sheetViews>
  <sheetFormatPr baseColWidth="10" defaultRowHeight="15" x14ac:dyDescent="0.25"/>
  <cols>
    <col min="1" max="1" width="13" customWidth="1"/>
    <col min="3" max="3" width="17.7109375" bestFit="1" customWidth="1"/>
    <col min="7" max="7" width="14.28515625" bestFit="1" customWidth="1"/>
  </cols>
  <sheetData>
    <row r="1" spans="1:7" x14ac:dyDescent="0.25">
      <c r="A1" s="41" t="s">
        <v>33</v>
      </c>
      <c r="B1" s="41"/>
      <c r="C1" s="41"/>
      <c r="D1" s="41"/>
      <c r="E1" s="41"/>
      <c r="F1" s="41"/>
    </row>
    <row r="2" spans="1:7" x14ac:dyDescent="0.25">
      <c r="A2" t="s">
        <v>30</v>
      </c>
      <c r="B2" t="s">
        <v>230</v>
      </c>
      <c r="C2" t="s">
        <v>231</v>
      </c>
      <c r="D2" t="s">
        <v>177</v>
      </c>
      <c r="E2" t="s">
        <v>178</v>
      </c>
      <c r="F2" t="s">
        <v>151</v>
      </c>
      <c r="G2" t="s">
        <v>4</v>
      </c>
    </row>
    <row r="3" spans="1:7" x14ac:dyDescent="0.25">
      <c r="A3" t="s">
        <v>43</v>
      </c>
      <c r="B3" s="1">
        <f>DATE(1970,1,2)</f>
        <v>25570</v>
      </c>
      <c r="C3" s="1">
        <f>DATE(1970,1,2)</f>
        <v>25570</v>
      </c>
      <c r="D3" s="2" t="s">
        <v>63</v>
      </c>
      <c r="E3" t="s">
        <v>71</v>
      </c>
      <c r="F3" t="s">
        <v>162</v>
      </c>
      <c r="G3" t="s">
        <v>12</v>
      </c>
    </row>
    <row r="4" spans="1:7" x14ac:dyDescent="0.25">
      <c r="A4" t="s">
        <v>44</v>
      </c>
      <c r="B4" s="1">
        <f>DATE(1970,1,3)</f>
        <v>25571</v>
      </c>
      <c r="C4" s="1">
        <f>DATE(1970,1,2)</f>
        <v>25570</v>
      </c>
      <c r="D4" s="2" t="s">
        <v>63</v>
      </c>
      <c r="E4" t="s">
        <v>69</v>
      </c>
      <c r="F4" t="s">
        <v>162</v>
      </c>
      <c r="G4" t="s">
        <v>15</v>
      </c>
    </row>
    <row r="5" spans="1:7" x14ac:dyDescent="0.25">
      <c r="A5" t="s">
        <v>47</v>
      </c>
      <c r="B5" s="1">
        <f>DATE(1970,1,5)</f>
        <v>25573</v>
      </c>
      <c r="C5" s="1">
        <f>DATE(1970,1,4)</f>
        <v>25572</v>
      </c>
      <c r="D5" s="2" t="s">
        <v>63</v>
      </c>
      <c r="E5" t="s">
        <v>69</v>
      </c>
      <c r="F5" t="s">
        <v>162</v>
      </c>
      <c r="G5" t="s">
        <v>16</v>
      </c>
    </row>
    <row r="6" spans="1:7" x14ac:dyDescent="0.25">
      <c r="A6" t="s">
        <v>48</v>
      </c>
      <c r="B6" s="1">
        <f>DATE(1970,1,4)</f>
        <v>25572</v>
      </c>
      <c r="C6" s="1">
        <f>DATE(1970,1,3)</f>
        <v>25571</v>
      </c>
      <c r="D6" s="2" t="s">
        <v>63</v>
      </c>
      <c r="E6" t="s">
        <v>72</v>
      </c>
      <c r="F6" t="s">
        <v>162</v>
      </c>
      <c r="G6" t="s">
        <v>17</v>
      </c>
    </row>
    <row r="7" spans="1:7" x14ac:dyDescent="0.25">
      <c r="A7" t="s">
        <v>49</v>
      </c>
      <c r="B7" s="1">
        <f>DATE(1970,1,5)</f>
        <v>25573</v>
      </c>
      <c r="C7" s="1">
        <f>DATE(1970,1,6)</f>
        <v>25574</v>
      </c>
      <c r="D7" s="2" t="s">
        <v>63</v>
      </c>
      <c r="E7" t="s">
        <v>72</v>
      </c>
      <c r="F7" t="s">
        <v>181</v>
      </c>
      <c r="G7" t="s">
        <v>18</v>
      </c>
    </row>
    <row r="8" spans="1:7" x14ac:dyDescent="0.25">
      <c r="A8" t="s">
        <v>50</v>
      </c>
      <c r="B8" s="1">
        <f>DATE(1970,1,6)</f>
        <v>25574</v>
      </c>
      <c r="C8" s="1">
        <f>DATE(1970,1,13)</f>
        <v>25581</v>
      </c>
      <c r="D8" s="2" t="s">
        <v>63</v>
      </c>
      <c r="E8" t="s">
        <v>73</v>
      </c>
      <c r="F8" t="s">
        <v>162</v>
      </c>
      <c r="G8" t="s">
        <v>19</v>
      </c>
    </row>
    <row r="9" spans="1:7" x14ac:dyDescent="0.25">
      <c r="A9" t="s">
        <v>51</v>
      </c>
      <c r="B9" s="1">
        <f>DATE(1970,1,7)</f>
        <v>25575</v>
      </c>
      <c r="C9" s="1">
        <f>DATE(1970,1,8)</f>
        <v>25576</v>
      </c>
      <c r="D9" s="2" t="s">
        <v>63</v>
      </c>
      <c r="E9" t="s">
        <v>69</v>
      </c>
      <c r="F9" t="s">
        <v>162</v>
      </c>
      <c r="G9" t="s">
        <v>20</v>
      </c>
    </row>
    <row r="10" spans="1:7" x14ac:dyDescent="0.25">
      <c r="A10" t="s">
        <v>52</v>
      </c>
      <c r="B10" s="1">
        <f>DATE(1970,1,8)</f>
        <v>25576</v>
      </c>
      <c r="C10" s="1">
        <f>DATE(1970,1,9)</f>
        <v>25577</v>
      </c>
      <c r="D10" s="2" t="s">
        <v>63</v>
      </c>
      <c r="E10" t="s">
        <v>69</v>
      </c>
      <c r="F10" t="s">
        <v>161</v>
      </c>
      <c r="G10" t="s">
        <v>21</v>
      </c>
    </row>
    <row r="11" spans="1:7" x14ac:dyDescent="0.25">
      <c r="A11" t="s">
        <v>53</v>
      </c>
      <c r="B11" s="1">
        <f>DATE(1970,1,9)</f>
        <v>25577</v>
      </c>
      <c r="C11" s="1">
        <f>DATE(1970,1,14)</f>
        <v>25582</v>
      </c>
      <c r="D11" s="2" t="s">
        <v>63</v>
      </c>
      <c r="E11" t="s">
        <v>72</v>
      </c>
      <c r="F11" t="s">
        <v>162</v>
      </c>
      <c r="G11" t="s">
        <v>22</v>
      </c>
    </row>
    <row r="12" spans="1:7" x14ac:dyDescent="0.25">
      <c r="A12" t="s">
        <v>54</v>
      </c>
      <c r="B12" s="1">
        <f>DATE(1970,1,10)</f>
        <v>25578</v>
      </c>
      <c r="C12" s="1">
        <f>DATE(1970,1,17)</f>
        <v>25585</v>
      </c>
      <c r="D12" s="2" t="s">
        <v>63</v>
      </c>
      <c r="E12" t="s">
        <v>69</v>
      </c>
      <c r="F12" t="s">
        <v>162</v>
      </c>
      <c r="G12" t="s">
        <v>23</v>
      </c>
    </row>
    <row r="13" spans="1:7" x14ac:dyDescent="0.25">
      <c r="A13" t="s">
        <v>55</v>
      </c>
      <c r="B13" s="1">
        <f>DATE(1970,1,11)</f>
        <v>25579</v>
      </c>
      <c r="C13" s="1">
        <f>DATE(1970,1,13)</f>
        <v>25581</v>
      </c>
      <c r="D13" s="2" t="s">
        <v>63</v>
      </c>
      <c r="E13" t="s">
        <v>69</v>
      </c>
      <c r="F13" t="s">
        <v>162</v>
      </c>
      <c r="G13" t="s">
        <v>24</v>
      </c>
    </row>
    <row r="14" spans="1:7" x14ac:dyDescent="0.25">
      <c r="A14" t="s">
        <v>56</v>
      </c>
      <c r="B14" s="1">
        <f>DATE(1970,1,12)</f>
        <v>25580</v>
      </c>
      <c r="C14" s="1">
        <f>DATE(1970,1,13)</f>
        <v>25581</v>
      </c>
      <c r="D14" s="2" t="s">
        <v>63</v>
      </c>
      <c r="E14" t="s">
        <v>69</v>
      </c>
      <c r="F14" t="s">
        <v>162</v>
      </c>
      <c r="G14" t="s">
        <v>25</v>
      </c>
    </row>
    <row r="15" spans="1:7" x14ac:dyDescent="0.25">
      <c r="A15" t="s">
        <v>61</v>
      </c>
      <c r="B15" s="1">
        <f>DATE(1970,1,13)</f>
        <v>25581</v>
      </c>
      <c r="C15" s="1">
        <f>DATE(1970,1,24)</f>
        <v>25592</v>
      </c>
      <c r="D15" s="2" t="s">
        <v>63</v>
      </c>
      <c r="E15" t="s">
        <v>69</v>
      </c>
      <c r="F15" t="s">
        <v>162</v>
      </c>
      <c r="G15" t="s">
        <v>26</v>
      </c>
    </row>
    <row r="16" spans="1:7" x14ac:dyDescent="0.25">
      <c r="A16" t="s">
        <v>62</v>
      </c>
      <c r="B16" s="1">
        <f>DATE(1970,1,14)</f>
        <v>25582</v>
      </c>
      <c r="C16" s="1">
        <f>DATE(1970,1,30)</f>
        <v>25598</v>
      </c>
      <c r="D16" s="2" t="s">
        <v>63</v>
      </c>
      <c r="E16" t="s">
        <v>69</v>
      </c>
      <c r="F16" t="s">
        <v>162</v>
      </c>
      <c r="G16" t="s">
        <v>27</v>
      </c>
    </row>
    <row r="17" spans="1:7" x14ac:dyDescent="0.25">
      <c r="A17" t="s">
        <v>235</v>
      </c>
      <c r="B17" s="1">
        <f>DATE(2021,12,12)</f>
        <v>44542</v>
      </c>
      <c r="C17" s="1">
        <f>DATE(2021,12,12)</f>
        <v>44542</v>
      </c>
      <c r="D17" s="2" t="s">
        <v>63</v>
      </c>
      <c r="E17" t="s">
        <v>69</v>
      </c>
      <c r="F17" t="s">
        <v>162</v>
      </c>
      <c r="G17" t="s">
        <v>243</v>
      </c>
    </row>
    <row r="18" spans="1:7" x14ac:dyDescent="0.25">
      <c r="A18" t="s">
        <v>236</v>
      </c>
      <c r="B18" s="1">
        <f>DATE(2021,12,13)</f>
        <v>44543</v>
      </c>
      <c r="C18" s="1">
        <f>DATE(2021,12,20)</f>
        <v>44550</v>
      </c>
      <c r="D18" s="2" t="s">
        <v>63</v>
      </c>
      <c r="E18" t="s">
        <v>69</v>
      </c>
      <c r="F18" t="s">
        <v>162</v>
      </c>
      <c r="G18" t="s">
        <v>244</v>
      </c>
    </row>
    <row r="19" spans="1:7" x14ac:dyDescent="0.25">
      <c r="A19" t="s">
        <v>237</v>
      </c>
      <c r="B19" s="1">
        <f>DATE(2021,12,14)</f>
        <v>44544</v>
      </c>
      <c r="C19" s="1">
        <f>DATE(2021,12,24)</f>
        <v>44554</v>
      </c>
      <c r="D19" s="2" t="s">
        <v>63</v>
      </c>
      <c r="E19" t="s">
        <v>69</v>
      </c>
      <c r="F19" t="s">
        <v>162</v>
      </c>
      <c r="G19" t="s">
        <v>245</v>
      </c>
    </row>
    <row r="20" spans="1:7" x14ac:dyDescent="0.25">
      <c r="A20" t="s">
        <v>238</v>
      </c>
      <c r="B20" s="1">
        <f>DATE(2022,1,12)</f>
        <v>44573</v>
      </c>
      <c r="C20" s="1">
        <f>DATE(2022,1,12)</f>
        <v>44573</v>
      </c>
      <c r="D20" s="2" t="s">
        <v>63</v>
      </c>
      <c r="E20" t="s">
        <v>69</v>
      </c>
      <c r="F20" t="s">
        <v>162</v>
      </c>
      <c r="G20" t="s">
        <v>246</v>
      </c>
    </row>
    <row r="21" spans="1:7" x14ac:dyDescent="0.25">
      <c r="A21" t="s">
        <v>239</v>
      </c>
      <c r="B21" s="1">
        <f>DATE(2022,1,13)</f>
        <v>44574</v>
      </c>
      <c r="C21" s="1">
        <f>DATE(2022,1,13)</f>
        <v>44574</v>
      </c>
      <c r="D21" s="2" t="s">
        <v>63</v>
      </c>
      <c r="E21" t="s">
        <v>69</v>
      </c>
      <c r="F21" t="s">
        <v>162</v>
      </c>
      <c r="G21" t="s">
        <v>247</v>
      </c>
    </row>
    <row r="22" spans="1:7" x14ac:dyDescent="0.25">
      <c r="A22" t="s">
        <v>240</v>
      </c>
      <c r="B22" s="1">
        <f>DATE(2022,1,14)</f>
        <v>44575</v>
      </c>
      <c r="C22" s="1">
        <f>DATE(2022,1,14)</f>
        <v>44575</v>
      </c>
      <c r="D22" s="2" t="s">
        <v>63</v>
      </c>
      <c r="E22" t="s">
        <v>69</v>
      </c>
      <c r="F22" t="s">
        <v>162</v>
      </c>
      <c r="G22" t="s">
        <v>248</v>
      </c>
    </row>
    <row r="23" spans="1:7" x14ac:dyDescent="0.25">
      <c r="A23" t="s">
        <v>241</v>
      </c>
      <c r="B23" s="1">
        <f>DATE(2022,1,12)</f>
        <v>44573</v>
      </c>
      <c r="C23" s="1">
        <f>DATE(2022,1,72)</f>
        <v>44633</v>
      </c>
      <c r="D23" s="2" t="s">
        <v>63</v>
      </c>
      <c r="E23" t="s">
        <v>69</v>
      </c>
      <c r="F23" t="s">
        <v>162</v>
      </c>
      <c r="G23" t="s">
        <v>249</v>
      </c>
    </row>
    <row r="24" spans="1:7" x14ac:dyDescent="0.25">
      <c r="A24" t="s">
        <v>242</v>
      </c>
      <c r="B24" s="1">
        <f>DATE(2022,1,13)</f>
        <v>44574</v>
      </c>
      <c r="C24" s="1">
        <f>DATE(2022,1,13)</f>
        <v>44574</v>
      </c>
      <c r="D24" s="2" t="s">
        <v>63</v>
      </c>
      <c r="E24" t="s">
        <v>69</v>
      </c>
      <c r="F24" t="s">
        <v>162</v>
      </c>
      <c r="G24" t="s">
        <v>250</v>
      </c>
    </row>
  </sheetData>
  <mergeCells count="1">
    <mergeCell ref="A1:F1"/>
  </mergeCells>
  <phoneticPr fontId="2" type="noConversion"/>
  <pageMargins left="0.7" right="0.7" top="0.75" bottom="0.75" header="0.3" footer="0.3"/>
  <ignoredErrors>
    <ignoredError sqref="B6"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4EEF6-314C-4238-A5F6-433039AFC609}">
  <sheetPr codeName="Feuil5"/>
  <dimension ref="A1:D4"/>
  <sheetViews>
    <sheetView workbookViewId="0">
      <selection activeCell="E11" sqref="E11"/>
    </sheetView>
  </sheetViews>
  <sheetFormatPr baseColWidth="10" defaultRowHeight="15" x14ac:dyDescent="0.25"/>
  <cols>
    <col min="2" max="2" width="17.5703125" customWidth="1"/>
    <col min="3" max="3" width="13.140625" customWidth="1"/>
    <col min="4" max="4" width="17.28515625" customWidth="1"/>
  </cols>
  <sheetData>
    <row r="1" spans="1:4" x14ac:dyDescent="0.25">
      <c r="A1" s="41" t="s">
        <v>107</v>
      </c>
      <c r="B1" s="41"/>
      <c r="C1" s="41"/>
      <c r="D1" s="41"/>
    </row>
    <row r="2" spans="1:4" x14ac:dyDescent="0.25">
      <c r="A2" t="s">
        <v>108</v>
      </c>
      <c r="B2" t="s">
        <v>110</v>
      </c>
      <c r="C2" t="s">
        <v>111</v>
      </c>
      <c r="D2" t="s">
        <v>121</v>
      </c>
    </row>
    <row r="3" spans="1:4" x14ac:dyDescent="0.25">
      <c r="A3" t="s">
        <v>116</v>
      </c>
      <c r="B3" t="s">
        <v>114</v>
      </c>
      <c r="C3" s="1">
        <v>37145</v>
      </c>
      <c r="D3" t="s">
        <v>225</v>
      </c>
    </row>
    <row r="4" spans="1:4" x14ac:dyDescent="0.25">
      <c r="A4" t="s">
        <v>117</v>
      </c>
      <c r="B4" t="s">
        <v>112</v>
      </c>
      <c r="C4" s="1">
        <v>43501</v>
      </c>
      <c r="D4" t="s">
        <v>226</v>
      </c>
    </row>
  </sheetData>
  <mergeCells count="1">
    <mergeCell ref="A1:D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F2295-55F5-4CE8-93FC-D216184E9FDD}">
  <sheetPr codeName="Feuil1"/>
  <dimension ref="A1:Z16"/>
  <sheetViews>
    <sheetView zoomScaleNormal="100" workbookViewId="0">
      <selection activeCell="B3" sqref="B3"/>
    </sheetView>
  </sheetViews>
  <sheetFormatPr baseColWidth="10" defaultRowHeight="15" x14ac:dyDescent="0.25"/>
  <cols>
    <col min="2" max="2" width="24.7109375" bestFit="1" customWidth="1"/>
    <col min="3" max="3" width="28" customWidth="1"/>
    <col min="4" max="4" width="19.7109375" bestFit="1" customWidth="1"/>
    <col min="5" max="5" width="17.85546875" bestFit="1" customWidth="1"/>
    <col min="6" max="6" width="19.42578125" bestFit="1" customWidth="1"/>
    <col min="7" max="7" width="25.28515625" bestFit="1" customWidth="1"/>
    <col min="8" max="8" width="16.5703125" customWidth="1"/>
    <col min="9" max="9" width="7.7109375" bestFit="1" customWidth="1"/>
    <col min="10" max="10" width="15.7109375" bestFit="1" customWidth="1"/>
    <col min="11" max="11" width="7.28515625" bestFit="1" customWidth="1"/>
    <col min="12" max="12" width="17.5703125" bestFit="1" customWidth="1"/>
    <col min="13" max="13" width="20.28515625" customWidth="1"/>
    <col min="25" max="25" width="24.42578125" bestFit="1" customWidth="1"/>
    <col min="26" max="26" width="24.28515625" bestFit="1" customWidth="1"/>
  </cols>
  <sheetData>
    <row r="1" spans="1:26" x14ac:dyDescent="0.25">
      <c r="A1" s="41" t="s">
        <v>31</v>
      </c>
      <c r="B1" s="41"/>
      <c r="C1" s="41"/>
      <c r="D1" s="41"/>
      <c r="E1" s="41"/>
      <c r="F1" s="41"/>
      <c r="G1" s="41"/>
      <c r="H1" s="41"/>
      <c r="U1" t="s">
        <v>186</v>
      </c>
      <c r="V1" t="s">
        <v>187</v>
      </c>
      <c r="X1" t="s">
        <v>288</v>
      </c>
      <c r="Y1" t="s">
        <v>212</v>
      </c>
      <c r="Z1" t="s">
        <v>57</v>
      </c>
    </row>
    <row r="2" spans="1:26" x14ac:dyDescent="0.25">
      <c r="A2" t="s">
        <v>32</v>
      </c>
      <c r="B2" t="s">
        <v>34</v>
      </c>
      <c r="C2" t="s">
        <v>37</v>
      </c>
      <c r="D2" t="s">
        <v>41</v>
      </c>
      <c r="E2" t="s">
        <v>42</v>
      </c>
      <c r="F2" t="s">
        <v>68</v>
      </c>
      <c r="G2" t="s">
        <v>70</v>
      </c>
      <c r="H2" t="s">
        <v>121</v>
      </c>
      <c r="I2" t="s">
        <v>185</v>
      </c>
      <c r="J2" t="s">
        <v>211</v>
      </c>
      <c r="K2" t="s">
        <v>216</v>
      </c>
      <c r="L2" t="s">
        <v>232</v>
      </c>
      <c r="X2">
        <v>17</v>
      </c>
      <c r="Z2" t="s">
        <v>76</v>
      </c>
    </row>
    <row r="3" spans="1:26" x14ac:dyDescent="0.25">
      <c r="A3" t="s">
        <v>64</v>
      </c>
      <c r="B3" t="s">
        <v>57</v>
      </c>
      <c r="C3" t="s">
        <v>60</v>
      </c>
      <c r="D3">
        <v>5</v>
      </c>
      <c r="E3">
        <v>7</v>
      </c>
      <c r="F3" t="s">
        <v>74</v>
      </c>
      <c r="G3" t="s">
        <v>75</v>
      </c>
      <c r="H3" t="s">
        <v>142</v>
      </c>
      <c r="I3">
        <v>150</v>
      </c>
      <c r="J3">
        <v>30</v>
      </c>
      <c r="K3">
        <v>2</v>
      </c>
      <c r="L3" s="1">
        <v>25572</v>
      </c>
      <c r="U3" t="s">
        <v>74</v>
      </c>
      <c r="V3" t="s">
        <v>75</v>
      </c>
      <c r="Z3" t="s">
        <v>80</v>
      </c>
    </row>
    <row r="4" spans="1:26" x14ac:dyDescent="0.25">
      <c r="A4" t="s">
        <v>65</v>
      </c>
      <c r="B4" t="s">
        <v>76</v>
      </c>
      <c r="C4" t="s">
        <v>99</v>
      </c>
      <c r="D4">
        <v>7</v>
      </c>
      <c r="E4">
        <v>28</v>
      </c>
      <c r="F4" t="s">
        <v>77</v>
      </c>
      <c r="G4" t="s">
        <v>78</v>
      </c>
      <c r="H4" t="s">
        <v>149</v>
      </c>
      <c r="I4">
        <v>62</v>
      </c>
      <c r="J4">
        <v>50</v>
      </c>
      <c r="K4">
        <v>5</v>
      </c>
      <c r="L4" s="1">
        <v>25571</v>
      </c>
      <c r="U4" t="s">
        <v>77</v>
      </c>
      <c r="V4" t="s">
        <v>78</v>
      </c>
      <c r="Z4" t="s">
        <v>102</v>
      </c>
    </row>
    <row r="5" spans="1:26" x14ac:dyDescent="0.25">
      <c r="A5" t="s">
        <v>66</v>
      </c>
      <c r="B5" t="s">
        <v>80</v>
      </c>
      <c r="C5" t="s">
        <v>103</v>
      </c>
      <c r="D5">
        <v>9</v>
      </c>
      <c r="E5">
        <v>36</v>
      </c>
      <c r="F5" t="s">
        <v>96</v>
      </c>
      <c r="G5" t="s">
        <v>97</v>
      </c>
      <c r="H5" t="s">
        <v>166</v>
      </c>
      <c r="I5">
        <v>26</v>
      </c>
      <c r="J5">
        <v>10</v>
      </c>
      <c r="K5">
        <v>7</v>
      </c>
      <c r="L5" s="1">
        <v>25572</v>
      </c>
      <c r="U5" t="s">
        <v>96</v>
      </c>
      <c r="V5" t="s">
        <v>97</v>
      </c>
      <c r="Z5" t="s">
        <v>104</v>
      </c>
    </row>
    <row r="6" spans="1:26" x14ac:dyDescent="0.25">
      <c r="A6" t="s">
        <v>67</v>
      </c>
      <c r="B6" t="s">
        <v>102</v>
      </c>
      <c r="C6" t="s">
        <v>105</v>
      </c>
      <c r="D6">
        <v>3</v>
      </c>
      <c r="E6">
        <v>420</v>
      </c>
      <c r="F6" t="s">
        <v>77</v>
      </c>
      <c r="G6" t="s">
        <v>119</v>
      </c>
      <c r="H6" t="s">
        <v>142</v>
      </c>
      <c r="I6">
        <v>21</v>
      </c>
      <c r="J6">
        <v>10</v>
      </c>
      <c r="K6">
        <v>1</v>
      </c>
      <c r="L6" s="1">
        <v>25573</v>
      </c>
      <c r="U6" t="s">
        <v>74</v>
      </c>
      <c r="V6" t="s">
        <v>119</v>
      </c>
      <c r="Z6" t="s">
        <v>113</v>
      </c>
    </row>
    <row r="7" spans="1:26" x14ac:dyDescent="0.25">
      <c r="A7" t="s">
        <v>100</v>
      </c>
      <c r="B7" t="s">
        <v>104</v>
      </c>
      <c r="C7" t="s">
        <v>106</v>
      </c>
      <c r="D7">
        <v>4</v>
      </c>
      <c r="E7">
        <v>69</v>
      </c>
      <c r="F7" t="s">
        <v>77</v>
      </c>
      <c r="G7" t="s">
        <v>119</v>
      </c>
      <c r="H7" t="s">
        <v>149</v>
      </c>
      <c r="I7">
        <v>11</v>
      </c>
      <c r="J7">
        <v>10</v>
      </c>
      <c r="K7">
        <v>2</v>
      </c>
      <c r="L7" s="1">
        <v>25574</v>
      </c>
      <c r="U7" t="s">
        <v>147</v>
      </c>
      <c r="V7" t="s">
        <v>118</v>
      </c>
      <c r="Z7" t="s">
        <v>213</v>
      </c>
    </row>
    <row r="8" spans="1:26" x14ac:dyDescent="0.25">
      <c r="A8" t="s">
        <v>101</v>
      </c>
      <c r="B8" t="s">
        <v>113</v>
      </c>
      <c r="C8" t="s">
        <v>115</v>
      </c>
      <c r="D8">
        <v>1</v>
      </c>
      <c r="E8">
        <v>1</v>
      </c>
      <c r="F8" t="s">
        <v>74</v>
      </c>
      <c r="G8" t="s">
        <v>118</v>
      </c>
      <c r="H8" t="s">
        <v>166</v>
      </c>
      <c r="I8">
        <v>130000</v>
      </c>
      <c r="J8">
        <v>1</v>
      </c>
      <c r="K8">
        <v>1</v>
      </c>
      <c r="L8" s="1">
        <v>25575</v>
      </c>
      <c r="U8" t="s">
        <v>289</v>
      </c>
      <c r="V8" t="s">
        <v>123</v>
      </c>
      <c r="Z8" t="s">
        <v>147</v>
      </c>
    </row>
    <row r="9" spans="1:26" ht="13.9" customHeight="1" x14ac:dyDescent="0.25">
      <c r="A9" t="s">
        <v>188</v>
      </c>
      <c r="B9" t="s">
        <v>213</v>
      </c>
      <c r="C9" t="s">
        <v>214</v>
      </c>
      <c r="D9">
        <v>100</v>
      </c>
      <c r="E9">
        <v>1000</v>
      </c>
      <c r="F9" t="s">
        <v>74</v>
      </c>
      <c r="G9" t="s">
        <v>123</v>
      </c>
      <c r="H9" t="s">
        <v>142</v>
      </c>
      <c r="I9">
        <v>6</v>
      </c>
      <c r="J9">
        <v>10</v>
      </c>
      <c r="K9">
        <v>98</v>
      </c>
      <c r="L9" s="1">
        <v>25576</v>
      </c>
      <c r="V9" t="s">
        <v>155</v>
      </c>
      <c r="Z9" t="s">
        <v>167</v>
      </c>
    </row>
    <row r="10" spans="1:26" x14ac:dyDescent="0.25">
      <c r="A10" t="s">
        <v>189</v>
      </c>
      <c r="B10" t="s">
        <v>147</v>
      </c>
      <c r="C10" t="s">
        <v>183</v>
      </c>
      <c r="D10">
        <v>9</v>
      </c>
      <c r="E10">
        <v>10</v>
      </c>
      <c r="F10" t="s">
        <v>147</v>
      </c>
      <c r="G10" t="s">
        <v>155</v>
      </c>
      <c r="H10" t="s">
        <v>149</v>
      </c>
      <c r="I10">
        <v>11</v>
      </c>
      <c r="J10">
        <v>50</v>
      </c>
      <c r="K10">
        <v>7</v>
      </c>
      <c r="L10" s="1">
        <v>25577</v>
      </c>
      <c r="V10" t="s">
        <v>290</v>
      </c>
      <c r="Z10" t="s">
        <v>170</v>
      </c>
    </row>
    <row r="11" spans="1:26" x14ac:dyDescent="0.25">
      <c r="A11" t="s">
        <v>190</v>
      </c>
      <c r="B11" t="s">
        <v>147</v>
      </c>
      <c r="C11" t="s">
        <v>183</v>
      </c>
      <c r="D11">
        <v>44.5</v>
      </c>
      <c r="E11">
        <v>444</v>
      </c>
      <c r="F11" t="s">
        <v>147</v>
      </c>
      <c r="G11" t="s">
        <v>155</v>
      </c>
      <c r="H11" t="s">
        <v>166</v>
      </c>
      <c r="I11">
        <v>11</v>
      </c>
      <c r="J11">
        <v>50</v>
      </c>
      <c r="K11">
        <v>40</v>
      </c>
      <c r="L11" s="1">
        <v>25578</v>
      </c>
      <c r="Z11" t="s">
        <v>171</v>
      </c>
    </row>
    <row r="12" spans="1:26" x14ac:dyDescent="0.25">
      <c r="A12" t="s">
        <v>191</v>
      </c>
      <c r="B12" t="s">
        <v>167</v>
      </c>
      <c r="C12" t="s">
        <v>165</v>
      </c>
      <c r="D12">
        <v>2.33</v>
      </c>
      <c r="E12">
        <v>150</v>
      </c>
      <c r="F12" t="s">
        <v>147</v>
      </c>
      <c r="G12" t="s">
        <v>155</v>
      </c>
      <c r="H12" t="s">
        <v>142</v>
      </c>
      <c r="I12">
        <v>11</v>
      </c>
      <c r="J12">
        <v>10</v>
      </c>
      <c r="K12">
        <v>2</v>
      </c>
      <c r="L12" s="1">
        <v>25579</v>
      </c>
      <c r="Z12" t="s">
        <v>169</v>
      </c>
    </row>
    <row r="13" spans="1:26" x14ac:dyDescent="0.25">
      <c r="A13" t="s">
        <v>192</v>
      </c>
      <c r="B13" t="s">
        <v>170</v>
      </c>
      <c r="C13" t="s">
        <v>168</v>
      </c>
      <c r="D13">
        <v>7.55</v>
      </c>
      <c r="E13">
        <v>22</v>
      </c>
      <c r="F13" t="s">
        <v>147</v>
      </c>
      <c r="G13" t="s">
        <v>155</v>
      </c>
      <c r="H13" t="s">
        <v>149</v>
      </c>
      <c r="I13">
        <v>11</v>
      </c>
      <c r="J13">
        <v>10</v>
      </c>
      <c r="K13">
        <v>5</v>
      </c>
      <c r="L13" s="1">
        <v>25580</v>
      </c>
      <c r="Z13" t="s">
        <v>292</v>
      </c>
    </row>
    <row r="14" spans="1:26" x14ac:dyDescent="0.25">
      <c r="A14" t="s">
        <v>193</v>
      </c>
      <c r="B14" t="s">
        <v>171</v>
      </c>
      <c r="C14" t="s">
        <v>164</v>
      </c>
      <c r="D14">
        <v>8</v>
      </c>
      <c r="E14">
        <v>13.5</v>
      </c>
      <c r="F14" t="s">
        <v>147</v>
      </c>
      <c r="G14" t="s">
        <v>155</v>
      </c>
      <c r="H14" t="s">
        <v>166</v>
      </c>
      <c r="I14">
        <v>0</v>
      </c>
      <c r="J14">
        <v>10</v>
      </c>
      <c r="K14">
        <v>6</v>
      </c>
      <c r="L14" s="1">
        <v>25581</v>
      </c>
    </row>
    <row r="15" spans="1:26" x14ac:dyDescent="0.25">
      <c r="A15" t="s">
        <v>194</v>
      </c>
      <c r="B15" t="s">
        <v>169</v>
      </c>
      <c r="C15" t="s">
        <v>163</v>
      </c>
      <c r="D15">
        <v>5</v>
      </c>
      <c r="E15">
        <v>3.66</v>
      </c>
      <c r="F15" t="s">
        <v>147</v>
      </c>
      <c r="G15" t="s">
        <v>155</v>
      </c>
      <c r="H15" t="s">
        <v>142</v>
      </c>
      <c r="I15">
        <v>0</v>
      </c>
      <c r="J15">
        <v>5</v>
      </c>
      <c r="K15">
        <v>3</v>
      </c>
      <c r="L15" s="1">
        <v>25582</v>
      </c>
    </row>
    <row r="16" spans="1:26" x14ac:dyDescent="0.25">
      <c r="A16" t="s">
        <v>291</v>
      </c>
      <c r="B16" t="s">
        <v>292</v>
      </c>
      <c r="C16" t="s">
        <v>292</v>
      </c>
      <c r="D16">
        <v>1</v>
      </c>
      <c r="E16">
        <v>1</v>
      </c>
      <c r="F16" t="s">
        <v>289</v>
      </c>
      <c r="G16" t="s">
        <v>290</v>
      </c>
      <c r="H16" t="s">
        <v>233</v>
      </c>
      <c r="I16">
        <v>1</v>
      </c>
      <c r="J16">
        <v>10</v>
      </c>
      <c r="K16">
        <v>1</v>
      </c>
      <c r="L16" s="1">
        <v>6890</v>
      </c>
    </row>
  </sheetData>
  <mergeCells count="1">
    <mergeCell ref="A1:H1"/>
  </mergeCells>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23704-6887-428C-A082-98C499971342}">
  <sheetPr codeName="Feuil11"/>
  <dimension ref="A1"/>
  <sheetViews>
    <sheetView workbookViewId="0"/>
  </sheetViews>
  <sheetFormatPr baseColWidth="10"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891D8A98EFDA348B5BB71E6D2D3889C" ma:contentTypeVersion="13" ma:contentTypeDescription="Create a new document." ma:contentTypeScope="" ma:versionID="6f0cfc6bb130a37c7816f1c850073395">
  <xsd:schema xmlns:xsd="http://www.w3.org/2001/XMLSchema" xmlns:xs="http://www.w3.org/2001/XMLSchema" xmlns:p="http://schemas.microsoft.com/office/2006/metadata/properties" xmlns:ns3="69e5ba0b-2a21-4437-8aa7-8b92f351f380" xmlns:ns4="0d58c43c-84e3-4c66-bf93-5cde1dec78ba" targetNamespace="http://schemas.microsoft.com/office/2006/metadata/properties" ma:root="true" ma:fieldsID="d2aabd91a8d87f57f46d49d82b79ad42" ns3:_="" ns4:_="">
    <xsd:import namespace="69e5ba0b-2a21-4437-8aa7-8b92f351f380"/>
    <xsd:import namespace="0d58c43c-84e3-4c66-bf93-5cde1dec78b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e5ba0b-2a21-4437-8aa7-8b92f351f3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d58c43c-84e3-4c66-bf93-5cde1dec78ba"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BBB9044-8896-46C5-98D8-54D9D894DA10}">
  <ds:schemaRefs>
    <ds:schemaRef ds:uri="http://schemas.microsoft.com/office/2006/documentManagement/types"/>
    <ds:schemaRef ds:uri="http://purl.org/dc/terms/"/>
    <ds:schemaRef ds:uri="http://www.w3.org/XML/1998/namespace"/>
    <ds:schemaRef ds:uri="http://schemas.microsoft.com/office/infopath/2007/PartnerControls"/>
    <ds:schemaRef ds:uri="0d58c43c-84e3-4c66-bf93-5cde1dec78ba"/>
    <ds:schemaRef ds:uri="http://purl.org/dc/elements/1.1/"/>
    <ds:schemaRef ds:uri="69e5ba0b-2a21-4437-8aa7-8b92f351f380"/>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923D1E77-B647-4D2A-ADB9-D246740D166B}">
  <ds:schemaRefs>
    <ds:schemaRef ds:uri="http://schemas.microsoft.com/sharepoint/v3/contenttype/forms"/>
  </ds:schemaRefs>
</ds:datastoreItem>
</file>

<file path=customXml/itemProps3.xml><?xml version="1.0" encoding="utf-8"?>
<ds:datastoreItem xmlns:ds="http://schemas.openxmlformats.org/officeDocument/2006/customXml" ds:itemID="{EA78464F-83D8-4812-98CE-08D519286EC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9e5ba0b-2a21-4437-8aa7-8b92f351f380"/>
    <ds:schemaRef ds:uri="0d58c43c-84e3-4c66-bf93-5cde1dec78b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4A5A93B-DEF7-4018-9C0A-8622380A8E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12</vt:i4>
      </vt:variant>
    </vt:vector>
  </HeadingPairs>
  <TitlesOfParts>
    <vt:vector size="26" baseType="lpstr">
      <vt:lpstr>MACROOOOOOOOOS</vt:lpstr>
      <vt:lpstr>Cause Retard</vt:lpstr>
      <vt:lpstr>Approvisionnement</vt:lpstr>
      <vt:lpstr>Bon D'Achat</vt:lpstr>
      <vt:lpstr>Commande</vt:lpstr>
      <vt:lpstr>Consommateur</vt:lpstr>
      <vt:lpstr>Facture</vt:lpstr>
      <vt:lpstr>Ligne Facture</vt:lpstr>
      <vt:lpstr>Fournisseur</vt:lpstr>
      <vt:lpstr>LieuLivraison</vt:lpstr>
      <vt:lpstr>Livraison</vt:lpstr>
      <vt:lpstr>Marché</vt:lpstr>
      <vt:lpstr>Produit</vt:lpstr>
      <vt:lpstr>Feuil1</vt:lpstr>
      <vt:lpstr>APPROVISIONNEMENT</vt:lpstr>
      <vt:lpstr>CAUSE_RETARD</vt:lpstr>
      <vt:lpstr>COMMANDE</vt:lpstr>
      <vt:lpstr>CONSOMMATEUR</vt:lpstr>
      <vt:lpstr>Produit!Extraire</vt:lpstr>
      <vt:lpstr>FACTURE</vt:lpstr>
      <vt:lpstr>FOURNISSEUR</vt:lpstr>
      <vt:lpstr>LIEULIVRAISON</vt:lpstr>
      <vt:lpstr>LIGNEFACTURE</vt:lpstr>
      <vt:lpstr>LIVRAISON</vt:lpstr>
      <vt:lpstr>MARCHE</vt:lpstr>
      <vt:lpstr>PRODUIT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Boulot</dc:creator>
  <cp:keywords/>
  <dc:description/>
  <cp:lastModifiedBy>AUBRY Gatien</cp:lastModifiedBy>
  <cp:revision/>
  <dcterms:created xsi:type="dcterms:W3CDTF">2021-11-09T07:16:35Z</dcterms:created>
  <dcterms:modified xsi:type="dcterms:W3CDTF">2021-12-17T10:07:54Z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0x0101006891D8A98EFDA348B5BB71E6D2D3889C</vt:lpwstr>
  </property>
</Properties>
</file>